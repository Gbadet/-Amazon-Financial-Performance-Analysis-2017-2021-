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fiinsight-my.sharepoint.com/personal/tafeekgbadegesin_bfiinsight_com/Documents/financial statement/Financial Analysis - TAOFEEK/Data Set/FTSE/Technology/"/>
    </mc:Choice>
  </mc:AlternateContent>
  <xr:revisionPtr revIDLastSave="41" documentId="13_ncr:1_{C294ADD1-D5B0-461F-867F-6ADE4F76ACA7}" xr6:coauthVersionLast="47" xr6:coauthVersionMax="47" xr10:uidLastSave="{0140AB18-33B4-49E5-86BD-CE20217D65F3}"/>
  <bookViews>
    <workbookView xWindow="-110" yWindow="-110" windowWidth="19420" windowHeight="10420" activeTab="3" xr2:uid="{C750E849-A067-4CFA-A695-C2D0492F612B}"/>
  </bookViews>
  <sheets>
    <sheet name="CF" sheetId="1" r:id="rId1"/>
    <sheet name="PL" sheetId="2" r:id="rId2"/>
    <sheet name="BS" sheetId="3" r:id="rId3"/>
    <sheet name="BS TEMPLATE" sheetId="4" r:id="rId4"/>
    <sheet name="PL TEMPLATE" sheetId="5" r:id="rId5"/>
    <sheet name="CF TEMPLATE" sheetId="6" r:id="rId6"/>
  </sheets>
  <definedNames>
    <definedName name="ExternalData_1" localSheetId="0" hidden="1">CF!$A$1:$E$33</definedName>
    <definedName name="ExternalData_1" localSheetId="1" hidden="1">PL!$A$1:$E$20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2" l="1"/>
  <c r="F9" i="2"/>
  <c r="B27" i="1"/>
  <c r="C27" i="1"/>
  <c r="B26" i="1"/>
  <c r="C26" i="1"/>
  <c r="E3" i="3"/>
  <c r="D3" i="3"/>
  <c r="H3" i="3"/>
  <c r="J3" i="3"/>
  <c r="K3" i="3"/>
  <c r="G3" i="3"/>
  <c r="J9" i="2"/>
  <c r="K9" i="2"/>
  <c r="E9" i="2"/>
  <c r="D9" i="2"/>
  <c r="G4" i="2"/>
  <c r="H4" i="2"/>
  <c r="I4" i="2"/>
  <c r="C4" i="2"/>
  <c r="D4" i="2"/>
  <c r="E4" i="2"/>
  <c r="J4" i="2"/>
  <c r="K4" i="2"/>
  <c r="B4" i="2"/>
</calcChain>
</file>

<file path=xl/sharedStrings.xml><?xml version="1.0" encoding="utf-8"?>
<sst xmlns="http://schemas.openxmlformats.org/spreadsheetml/2006/main" count="288" uniqueCount="148">
  <si>
    <t>CONSOLIDATED  STATEMENTS  OF CASH FLOWS (in millions)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</si>
  <si>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</si>
  <si>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</si>
  <si>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</si>
  <si>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</si>
  <si>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</si>
  <si>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</si>
  <si>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</si>
  <si>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</si>
  <si>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</si>
  <si>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</si>
  <si>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Year Ended December 31,</t>
  </si>
  <si>
    <t>CASH, CASH EQUIVALENTS, AND RESTRICTED CASH, BEGINNING OF PERIOD</t>
  </si>
  <si>
    <t>OPERATING ACTIVITIES:</t>
  </si>
  <si>
    <t>Net income</t>
  </si>
  <si>
    <t>Adjustments to reconcile net income to net cash from operating activities:</t>
  </si>
  <si>
    <t>Depreciation and amortization of property and equipment and capitalized content costs, operating lease assets, and other</t>
  </si>
  <si>
    <t>Stock-based compensation</t>
  </si>
  <si>
    <t>Other operating expense (income), net</t>
  </si>
  <si>
    <t>Other expense (income), net</t>
  </si>
  <si>
    <t>Deferred income taxes</t>
  </si>
  <si>
    <t>Changes in operating assets and liabilities:</t>
  </si>
  <si>
    <t>Inventories</t>
  </si>
  <si>
    <t>Accounts receivable, net and other</t>
  </si>
  <si>
    <t>Accounts payable</t>
  </si>
  <si>
    <t>Accrued expenses and other</t>
  </si>
  <si>
    <t>Unearned revenue</t>
  </si>
  <si>
    <t>Net cash provided by (used in) operating activities</t>
  </si>
  <si>
    <t>INVESTING ACTIVITIES:</t>
  </si>
  <si>
    <t>Purchases of property and equipment</t>
  </si>
  <si>
    <t>Proceeds from property and equipment sales and incentives</t>
  </si>
  <si>
    <t>Acquisitions, net of cash acquired, and other</t>
  </si>
  <si>
    <t>Sales and maturities of marketable securities</t>
  </si>
  <si>
    <t>Purchases of marketable securities</t>
  </si>
  <si>
    <t>Net cash provided by (used in) investing activities</t>
  </si>
  <si>
    <t>FINANCING ACTIVITIES:</t>
  </si>
  <si>
    <t>Proceeds from long-term debt and other</t>
  </si>
  <si>
    <t>Repayments of long-term debt and other</t>
  </si>
  <si>
    <t>Principal repayments of finance leases</t>
  </si>
  <si>
    <t>Principal repayments of financing obligations</t>
  </si>
  <si>
    <t>Net cash provided by(used in) financing activities</t>
  </si>
  <si>
    <t>Foreign currency effect on cash, cash equivalents, and restricted cash</t>
  </si>
  <si>
    <t>Net increase (decrease) in cash, cash equivalents, and restricted cash</t>
  </si>
  <si>
    <t>CASH, CASH EQUIVALENTS, AND RESTRICTED CASH, END OF PERIOD</t>
  </si>
  <si>
    <t>Revenue</t>
  </si>
  <si>
    <t>Cost of sales</t>
  </si>
  <si>
    <t>Gross Profit</t>
  </si>
  <si>
    <t>Fulfillment</t>
  </si>
  <si>
    <t>Technology and content</t>
  </si>
  <si>
    <t>Marketing</t>
  </si>
  <si>
    <t>General and administrative</t>
  </si>
  <si>
    <t>SG&amp;A</t>
  </si>
  <si>
    <t>Total operating expenses</t>
  </si>
  <si>
    <t>Operating income</t>
  </si>
  <si>
    <t>676</t>
  </si>
  <si>
    <t>Interest income</t>
  </si>
  <si>
    <t>40</t>
  </si>
  <si>
    <t>Interest expense</t>
  </si>
  <si>
    <t>-92</t>
  </si>
  <si>
    <t>Other income (expense), net</t>
  </si>
  <si>
    <t>-80</t>
  </si>
  <si>
    <t>Total non-operating income (expense)</t>
  </si>
  <si>
    <t>-132</t>
  </si>
  <si>
    <t>Income before income taxes</t>
  </si>
  <si>
    <t>544</t>
  </si>
  <si>
    <t>Provision for income taxes</t>
  </si>
  <si>
    <t>-428</t>
  </si>
  <si>
    <t>Equity-method investment activity, net of tax</t>
  </si>
  <si>
    <t>-155</t>
  </si>
  <si>
    <t>-39</t>
  </si>
  <si>
    <t>CONSOLIDATED BALANCE SHEETS (in millions, except per share data)</t>
  </si>
  <si>
    <t>Current assets:</t>
  </si>
  <si>
    <t>Cash and cash equivalents</t>
  </si>
  <si>
    <t>Cash in hand</t>
  </si>
  <si>
    <t>Marketable securities</t>
  </si>
  <si>
    <t>Total current assets</t>
  </si>
  <si>
    <t>Property and equipment, net</t>
  </si>
  <si>
    <t>Operating leases</t>
  </si>
  <si>
    <t>Goodwill</t>
  </si>
  <si>
    <t>Other assets</t>
  </si>
  <si>
    <t>Total assets</t>
  </si>
  <si>
    <t>LIABILITIES AND STOCKHOLDERS’ EQUITY</t>
  </si>
  <si>
    <t>Current liabilities:</t>
  </si>
  <si>
    <t>Total current liabilities</t>
  </si>
  <si>
    <t>Long-term lease liabilities</t>
  </si>
  <si>
    <t>Long-term debt</t>
  </si>
  <si>
    <t>Stockholders’ equity:</t>
  </si>
  <si>
    <t>Treasury stock, at cost</t>
  </si>
  <si>
    <t>Additional paid-in capital</t>
  </si>
  <si>
    <t>Accumulated other comprehensive  income (loss)</t>
  </si>
  <si>
    <t>Retained earnings</t>
  </si>
  <si>
    <t>Total stockholders’ equity</t>
  </si>
  <si>
    <t>Total liabilities and stockholders’ equity</t>
  </si>
  <si>
    <t>Outstanding shares</t>
  </si>
  <si>
    <t xml:space="preserve"> BALANCE SHEETS  ITEMS</t>
  </si>
  <si>
    <t>NORMARLIZED</t>
  </si>
  <si>
    <t>Other long-term liabilities</t>
  </si>
  <si>
    <t>IS ITEMS</t>
  </si>
  <si>
    <t>NORMALIZED</t>
  </si>
  <si>
    <t>CASH FLOW ITEMS</t>
  </si>
  <si>
    <t xml:space="preserve">    Cash and cash equivalents</t>
  </si>
  <si>
    <t xml:space="preserve">    Cash in hand</t>
  </si>
  <si>
    <t xml:space="preserve">    Marketable securities</t>
  </si>
  <si>
    <t xml:space="preserve">    Inventories</t>
  </si>
  <si>
    <t xml:space="preserve">    Accounts receivable, net and other</t>
  </si>
  <si>
    <t xml:space="preserve">    Property and equipment, net</t>
  </si>
  <si>
    <t xml:space="preserve">    Operating leases</t>
  </si>
  <si>
    <t xml:space="preserve">    Goodwill</t>
  </si>
  <si>
    <t xml:space="preserve">    Other assets</t>
  </si>
  <si>
    <t xml:space="preserve">    Accounts payable</t>
  </si>
  <si>
    <t xml:space="preserve">    Accrued expenses and other</t>
  </si>
  <si>
    <t xml:space="preserve">    Unearned revenue</t>
  </si>
  <si>
    <t xml:space="preserve">    Long-term lease liabilities</t>
  </si>
  <si>
    <t xml:space="preserve">    Long-term debt</t>
  </si>
  <si>
    <t xml:space="preserve">    Other long-term liabilities</t>
  </si>
  <si>
    <t xml:space="preserve">    Outstanding shares</t>
  </si>
  <si>
    <t xml:space="preserve">    Treasury stock, at cost</t>
  </si>
  <si>
    <t xml:space="preserve">    Additional paid-in capital</t>
  </si>
  <si>
    <t xml:space="preserve">    Accumulated other comprehensive  income (loss)</t>
  </si>
  <si>
    <t xml:space="preserve">    Retained earnings</t>
  </si>
  <si>
    <t xml:space="preserve">    Revenue</t>
  </si>
  <si>
    <t xml:space="preserve">    Cost of sales</t>
  </si>
  <si>
    <t xml:space="preserve">    Fulfillment</t>
  </si>
  <si>
    <t xml:space="preserve">    Technology and content</t>
  </si>
  <si>
    <t xml:space="preserve">    Marketing</t>
  </si>
  <si>
    <t xml:space="preserve">    General and administrative</t>
  </si>
  <si>
    <t xml:space="preserve">    SG&amp;A</t>
  </si>
  <si>
    <t xml:space="preserve">    Other operating expense (income), net</t>
  </si>
  <si>
    <t xml:space="preserve">    Interest income</t>
  </si>
  <si>
    <t xml:space="preserve">    Interest expense</t>
  </si>
  <si>
    <t xml:space="preserve">    Other income (expense), net</t>
  </si>
  <si>
    <t xml:space="preserve">    Provision for income taxes</t>
  </si>
  <si>
    <t xml:space="preserve">    Equity-method investment activity, net of tax</t>
  </si>
  <si>
    <t xml:space="preserve">    Depreciation and amortization of property and equipment and capitalized content costs, operating lease assets, and other</t>
  </si>
  <si>
    <t xml:space="preserve">    Stock-based compensation</t>
  </si>
  <si>
    <t xml:space="preserve">    Other expense (income), net</t>
  </si>
  <si>
    <t xml:space="preserve">    Deferred income taxes</t>
  </si>
  <si>
    <t xml:space="preserve">    Changes in operating assets and liabilities:</t>
  </si>
  <si>
    <t xml:space="preserve">    Purchases of property and equipment</t>
  </si>
  <si>
    <t xml:space="preserve">    Proceeds from property and equipment sales and incentives</t>
  </si>
  <si>
    <t xml:space="preserve">    Acquisitions, net of cash acquired, and other</t>
  </si>
  <si>
    <t xml:space="preserve">    Sales and maturities of marketable securities</t>
  </si>
  <si>
    <t xml:space="preserve">    Purchases of marketable securities</t>
  </si>
  <si>
    <t xml:space="preserve">    Proceeds from long-term debt and other</t>
  </si>
  <si>
    <t xml:space="preserve">    Repayments of long-term debt and other</t>
  </si>
  <si>
    <t xml:space="preserve">    Principal repayments of finance leases</t>
  </si>
  <si>
    <t xml:space="preserve">    Principal repayments of financing obligations</t>
  </si>
  <si>
    <t xml:space="preserve">    Foreign currency effect on cash, cash equivalents, and restricted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</si>
</sst>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Arial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23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vertical="top"/>
    </xf>
    <xf numFmtId="0" fontId="0" fillId="0" borderId="2" xfId="0" applyBorder="1"/>
    <xf numFmtId="0" fontId="1" fillId="0" borderId="2" xfId="0" applyFont="1" applyBorder="1"/>
    <xf numFmtId="0" fontId="0" fillId="0" borderId="0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2" borderId="6" xfId="1" applyBorder="1"/>
    <xf numFmtId="0" fontId="0" fillId="0" borderId="0" xfId="0" applyAlignment="1">
      <alignment horizontal="left" indent="1"/>
    </xf>
    <xf numFmtId="0" fontId="1" fillId="0" borderId="2" xfId="0" applyFont="1" applyBorder="1" applyAlignment="1">
      <alignment horizontal="left"/>
    </xf>
    <xf numFmtId="0" fontId="2" fillId="2" borderId="6" xfId="1" applyBorder="1" applyAlignment="1">
      <alignment horizontal="left"/>
    </xf>
    <xf numFmtId="41" fontId="0" fillId="0" borderId="0" xfId="0" applyNumberFormat="1"/>
    <xf numFmtId="41" fontId="0" fillId="0" borderId="0" xfId="0" applyNumberFormat="1" applyAlignment="1"/>
    <xf numFmtId="0" fontId="0" fillId="0" borderId="0" xfId="0" applyAlignment="1"/>
    <xf numFmtId="3" fontId="0" fillId="0" borderId="0" xfId="0" applyNumberFormat="1" applyAlignment="1"/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/>
    </xf>
  </cellXfs>
  <cellStyles count="2">
    <cellStyle name="Normal" xfId="0" builtinId="0"/>
    <cellStyle name="Output" xfId="1" builtinId="21"/>
  </cellStyles>
  <dxfs count="2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F629F-1875-4339-8A2A-716CE05CFCEE}" name="Table_1" displayName="Table_1" ref="A1:K33" totalsRowShown="0">
  <autoFilter ref="A1:K33" xr:uid="{D59783DD-1552-4DBC-8970-D496B9CD0110}"/>
  <tableColumns count="11">
    <tableColumn id="1" xr3:uid="{864C934E-56C8-4F75-930F-A5F9DF1AC5E8}" name="CONSOLIDATED  STATEMENTS  OF CASH FLOWS (in millions)"/>
    <tableColumn id="16" xr3:uid="{455B5D92-5393-4438-9F69-9A6E5E80B717}" name="2021" dataDxfId="20"/>
    <tableColumn id="15" xr3:uid="{56C8E209-A0A5-4F78-B460-E46E4ABB85DC}" name="2020" dataDxfId="19"/>
    <tableColumn id="4" xr3:uid="{5B085177-7BBB-48AC-946A-840742E3B925}" name="2019" dataDxfId="18"/>
    <tableColumn id="3" xr3:uid="{A91D8B78-569B-4BD3-AD7E-B5B73848AC41}" name="2018" dataDxfId="17"/>
    <tableColumn id="2" xr3:uid="{8ACAFBA7-033C-4FD6-80C0-195C882EC874}" name="2017" dataDxfId="16"/>
    <tableColumn id="8" xr3:uid="{A5624FBD-7C0B-469A-8ADE-4602672308D4}" name="2016" dataDxfId="15"/>
    <tableColumn id="7" xr3:uid="{8AB355F7-A862-467A-88F9-DA0B0F9697C7}" name="2015" dataDxfId="14"/>
    <tableColumn id="6" xr3:uid="{27DF147A-7EE3-43FB-B516-2F3C74CF0571}" name="2014" dataDxfId="13"/>
    <tableColumn id="9" xr3:uid="{117F3E66-FEBB-4412-803F-000CB58CCF6E}" name="2013" dataDxfId="12"/>
    <tableColumn id="10" xr3:uid="{62303C5C-0129-4103-B68C-91245D301F67}" name="2012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D36B15-8C91-4212-A5EC-0C79BE41896A}" name="Table_2" displayName="Table_2" ref="A1:K20" totalsRowShown="0">
  <autoFilter ref="A1:K20" xr:uid="{E26418B6-E4A0-4C10-8B20-FA42EFFBD525}"/>
  <tableColumns count="11">
    <tableColumn id="1" xr3:uid="{2554FB22-327B-4F40-9669-BD9F9D95AF5D}" name="Year Ended December 31,"/>
    <tableColumn id="13" xr3:uid="{4942A6FD-382C-4C2D-8645-8D33C4AA6591}" name="2021"/>
    <tableColumn id="12" xr3:uid="{0BC5F6C9-F77B-414F-9C6B-DB2283223B94}" name="2020"/>
    <tableColumn id="6" xr3:uid="{DE0C4CE0-135A-4583-9A27-49411516C8B1}" name="2019"/>
    <tableColumn id="4" xr3:uid="{E2D0DD81-A1BD-4ABF-A0D4-31B74D466E0F}" name="2018"/>
    <tableColumn id="2" xr3:uid="{2811396F-42AC-417F-A4D1-809D41CEFCD4}" name="2017" dataDxfId="10"/>
    <tableColumn id="14" xr3:uid="{D1A4E69D-CB55-4109-870F-0AB449B69B2C}" name="2016"/>
    <tableColumn id="16" xr3:uid="{1B55BBB9-DDFD-4545-B021-D26B1D977637}" name="2015"/>
    <tableColumn id="15" xr3:uid="{BDC43263-086A-467D-B3ED-EB2DD5D2E97C}" name="2014"/>
    <tableColumn id="9" xr3:uid="{AFB957BE-5BD9-4CFC-9125-419E7B9A3938}" name="2013"/>
    <tableColumn id="10" xr3:uid="{1F2DCE2B-FF6C-4418-8CCE-FE4743C59842}" name="20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A1C231-D0BA-4721-8765-5FA7B8D8B91D}" name="Table_3" displayName="Table_3" ref="A1:K30" totalsRowShown="0">
  <autoFilter ref="A1:K30" xr:uid="{F1BDAAFE-4D0C-4282-8F5A-F105EBB4B8E1}"/>
  <tableColumns count="11">
    <tableColumn id="1" xr3:uid="{9C957E8A-DBF4-4793-A3C7-24BE8869444B}" name="CONSOLIDATED BALANCE SHEETS (in millions, except per share data)"/>
    <tableColumn id="14" xr3:uid="{2320DC70-6B11-48C3-96EF-EC4F8CAD186D}" name="2021" dataDxfId="9"/>
    <tableColumn id="13" xr3:uid="{B266C86B-FD85-4F3E-9264-5A6BCFEA0B0F}" name="2020" dataDxfId="8"/>
    <tableColumn id="6" xr3:uid="{D7B1D8EE-4E56-4198-A8F6-7B51FB333E52}" name="2019" dataDxfId="7"/>
    <tableColumn id="4" xr3:uid="{564A0EE5-DEA5-4304-92FE-E6AFBB46389E}" name="2018" dataDxfId="6"/>
    <tableColumn id="15" xr3:uid="{49136397-17A3-41DF-A70C-A22D77CBF43C}" name="2017" dataDxfId="5"/>
    <tableColumn id="10" xr3:uid="{451F63F4-5226-40CF-80CC-1521363A189B}" name="2016" dataDxfId="4"/>
    <tableColumn id="9" xr3:uid="{380EC499-085B-4FD5-B998-7F58A1E5EF0D}" name="2015" dataDxfId="3"/>
    <tableColumn id="16" xr3:uid="{E7A43AE7-9CF6-4A58-BEA1-F3B7258A7080}" name="2014" dataDxfId="2"/>
    <tableColumn id="11" xr3:uid="{8787572F-3D09-4146-BE43-9BBD6323F4BF}" name="2013" dataDxfId="1"/>
    <tableColumn id="12" xr3:uid="{1E363BB0-6225-413C-9EFC-89B2152E6B79}" name="20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77F6-DF59-4EE3-84AC-6134FC12B7FF}">
  <dimension ref="A1:K33"/>
  <sheetViews>
    <sheetView topLeftCell="A13" workbookViewId="0">
      <selection activeCell="B2" sqref="B2"/>
    </sheetView>
  </sheetViews>
  <sheetFormatPr defaultRowHeight="14.5" x14ac:dyDescent="0.35"/>
  <cols>
    <col min="1" max="1" width="80.7265625" bestFit="1" customWidth="1"/>
    <col min="2" max="9" width="10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2" t="s">
        <v>12</v>
      </c>
      <c r="B2" s="17">
        <v>42377</v>
      </c>
      <c r="C2" s="17">
        <v>36410</v>
      </c>
      <c r="D2" s="17">
        <v>32173</v>
      </c>
      <c r="E2" s="17">
        <v>21856</v>
      </c>
      <c r="F2" s="17">
        <v>19934</v>
      </c>
      <c r="G2" s="17">
        <v>15890</v>
      </c>
      <c r="H2" s="17">
        <v>14557</v>
      </c>
      <c r="I2" s="17">
        <v>8658</v>
      </c>
      <c r="J2" s="17">
        <v>8084</v>
      </c>
      <c r="K2" s="17">
        <v>5269</v>
      </c>
    </row>
    <row r="3" spans="1:11" x14ac:dyDescent="0.35">
      <c r="A3" t="s">
        <v>13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x14ac:dyDescent="0.35">
      <c r="A4" t="s">
        <v>14</v>
      </c>
      <c r="B4" s="17">
        <v>33364</v>
      </c>
      <c r="C4" s="17">
        <v>21331</v>
      </c>
      <c r="D4" s="17">
        <v>11588</v>
      </c>
      <c r="E4" s="17">
        <v>10073</v>
      </c>
      <c r="F4" s="17">
        <v>3033</v>
      </c>
      <c r="G4" s="17">
        <v>2371</v>
      </c>
      <c r="H4" s="17">
        <v>596</v>
      </c>
      <c r="I4" s="17">
        <v>-241</v>
      </c>
      <c r="J4" s="17">
        <v>274</v>
      </c>
      <c r="K4" s="17">
        <v>-39</v>
      </c>
    </row>
    <row r="5" spans="1:11" x14ac:dyDescent="0.35">
      <c r="A5" t="s">
        <v>15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x14ac:dyDescent="0.35">
      <c r="A6" t="s">
        <v>16</v>
      </c>
      <c r="B6" s="17">
        <v>34296</v>
      </c>
      <c r="C6" s="17">
        <v>25251</v>
      </c>
      <c r="D6" s="17">
        <v>21789</v>
      </c>
      <c r="E6" s="17">
        <v>15341</v>
      </c>
      <c r="F6" s="17">
        <v>11478</v>
      </c>
      <c r="G6" s="17">
        <v>8116</v>
      </c>
      <c r="H6" s="17">
        <v>6281</v>
      </c>
      <c r="I6" s="17">
        <v>4746</v>
      </c>
      <c r="J6" s="17">
        <v>3253</v>
      </c>
      <c r="K6" s="17">
        <v>2159</v>
      </c>
    </row>
    <row r="7" spans="1:11" x14ac:dyDescent="0.35">
      <c r="A7" t="s">
        <v>17</v>
      </c>
      <c r="B7" s="17">
        <v>12757</v>
      </c>
      <c r="C7" s="17">
        <v>9208</v>
      </c>
      <c r="D7" s="17">
        <v>6864</v>
      </c>
      <c r="E7" s="17">
        <v>5418</v>
      </c>
      <c r="F7" s="17">
        <v>4215</v>
      </c>
      <c r="G7" s="17">
        <v>2975</v>
      </c>
      <c r="H7" s="17">
        <v>2119</v>
      </c>
      <c r="I7" s="17">
        <v>1497</v>
      </c>
      <c r="J7" s="17">
        <v>1134</v>
      </c>
      <c r="K7" s="17">
        <v>833</v>
      </c>
    </row>
    <row r="8" spans="1:11" x14ac:dyDescent="0.35">
      <c r="A8" t="s">
        <v>18</v>
      </c>
      <c r="B8" s="17">
        <v>137</v>
      </c>
      <c r="C8" s="17">
        <v>-71</v>
      </c>
      <c r="D8" s="17">
        <v>164</v>
      </c>
      <c r="E8" s="17">
        <v>274</v>
      </c>
      <c r="F8" s="17">
        <v>202</v>
      </c>
      <c r="G8" s="17">
        <v>160</v>
      </c>
      <c r="H8" s="17">
        <v>155</v>
      </c>
      <c r="I8" s="17">
        <v>129</v>
      </c>
      <c r="J8" s="17">
        <v>114</v>
      </c>
      <c r="K8" s="17">
        <v>154</v>
      </c>
    </row>
    <row r="9" spans="1:11" x14ac:dyDescent="0.35">
      <c r="A9" t="s">
        <v>19</v>
      </c>
      <c r="B9" s="17">
        <v>-249</v>
      </c>
      <c r="C9" s="17">
        <v>-2582</v>
      </c>
      <c r="D9" s="17">
        <v>-249</v>
      </c>
      <c r="E9" s="17">
        <v>219</v>
      </c>
      <c r="F9" s="17">
        <v>-292</v>
      </c>
      <c r="G9" s="17">
        <v>-20</v>
      </c>
      <c r="H9" s="17">
        <v>250</v>
      </c>
      <c r="I9" s="17">
        <v>59</v>
      </c>
      <c r="J9" s="17">
        <v>1</v>
      </c>
      <c r="K9" s="17">
        <v>-9</v>
      </c>
    </row>
    <row r="10" spans="1:11" x14ac:dyDescent="0.35">
      <c r="A10" t="s">
        <v>20</v>
      </c>
      <c r="B10" s="17">
        <v>796</v>
      </c>
      <c r="C10" s="17">
        <v>-554</v>
      </c>
      <c r="D10" s="17">
        <v>796</v>
      </c>
      <c r="E10" s="17">
        <v>441</v>
      </c>
      <c r="F10" s="17">
        <v>-29</v>
      </c>
      <c r="G10" s="17">
        <v>-246</v>
      </c>
      <c r="H10" s="17">
        <v>81</v>
      </c>
      <c r="I10" s="17">
        <v>-316</v>
      </c>
      <c r="J10" s="17">
        <v>166</v>
      </c>
      <c r="K10" s="17">
        <v>253</v>
      </c>
    </row>
    <row r="11" spans="1:11" x14ac:dyDescent="0.35">
      <c r="A11" t="s">
        <v>21</v>
      </c>
      <c r="B11" s="17"/>
      <c r="C11" s="17"/>
      <c r="D11" s="17"/>
      <c r="E11" s="17"/>
      <c r="F11" s="17"/>
      <c r="G11" s="17">
        <v>-829</v>
      </c>
      <c r="H11" s="17">
        <v>-119</v>
      </c>
      <c r="I11" s="17">
        <v>-6</v>
      </c>
      <c r="J11" s="17">
        <v>-156</v>
      </c>
      <c r="K11" s="17">
        <v>-265</v>
      </c>
    </row>
    <row r="12" spans="1:11" x14ac:dyDescent="0.35">
      <c r="A12" t="s">
        <v>22</v>
      </c>
      <c r="B12" s="17">
        <v>-9487</v>
      </c>
      <c r="C12" s="17">
        <v>-2849</v>
      </c>
      <c r="D12" s="17">
        <v>-3278</v>
      </c>
      <c r="E12" s="17">
        <v>-1314</v>
      </c>
      <c r="F12" s="17">
        <v>-3583</v>
      </c>
      <c r="G12" s="17"/>
      <c r="H12" s="17"/>
      <c r="I12" s="17"/>
      <c r="J12" s="17">
        <v>-78</v>
      </c>
      <c r="K12" s="17">
        <v>-429</v>
      </c>
    </row>
    <row r="13" spans="1:11" x14ac:dyDescent="0.35">
      <c r="A13" t="s">
        <v>23</v>
      </c>
      <c r="B13" s="17">
        <v>-18163</v>
      </c>
      <c r="C13" s="17">
        <v>-8169</v>
      </c>
      <c r="D13" s="17">
        <v>-7681</v>
      </c>
      <c r="E13" s="17">
        <v>-4615</v>
      </c>
      <c r="F13" s="17">
        <v>-4780</v>
      </c>
      <c r="G13" s="17">
        <v>-1426</v>
      </c>
      <c r="H13" s="17">
        <v>-2187</v>
      </c>
      <c r="I13" s="17">
        <v>-1193</v>
      </c>
      <c r="J13" s="17"/>
      <c r="K13" s="17"/>
    </row>
    <row r="14" spans="1:11" x14ac:dyDescent="0.35">
      <c r="A14" t="s">
        <v>24</v>
      </c>
      <c r="B14" s="17">
        <v>3602</v>
      </c>
      <c r="C14" s="17">
        <v>17480</v>
      </c>
      <c r="D14" s="17">
        <v>8193</v>
      </c>
      <c r="E14" s="17">
        <v>3263</v>
      </c>
      <c r="F14" s="17">
        <v>7100</v>
      </c>
      <c r="G14" s="17">
        <v>-3367</v>
      </c>
      <c r="H14" s="17">
        <v>-1755</v>
      </c>
      <c r="I14" s="17">
        <v>-1039</v>
      </c>
      <c r="J14" s="17">
        <v>-1410</v>
      </c>
      <c r="K14" s="17">
        <v>-999</v>
      </c>
    </row>
    <row r="15" spans="1:11" x14ac:dyDescent="0.35">
      <c r="A15" t="s">
        <v>25</v>
      </c>
      <c r="B15" s="17">
        <v>2123</v>
      </c>
      <c r="C15" s="17">
        <v>5754</v>
      </c>
      <c r="D15" s="17">
        <v>-1383</v>
      </c>
      <c r="E15" s="17">
        <v>472</v>
      </c>
      <c r="F15" s="17">
        <v>283</v>
      </c>
      <c r="G15" s="17">
        <v>5030</v>
      </c>
      <c r="H15" s="17">
        <v>4294</v>
      </c>
      <c r="I15" s="17">
        <v>1759</v>
      </c>
      <c r="J15" s="17">
        <v>-846</v>
      </c>
      <c r="K15" s="17">
        <v>-861</v>
      </c>
    </row>
    <row r="16" spans="1:11" x14ac:dyDescent="0.35">
      <c r="A16" t="s">
        <v>26</v>
      </c>
      <c r="B16" s="17">
        <v>2314</v>
      </c>
      <c r="C16" s="17">
        <v>1265</v>
      </c>
      <c r="D16" s="17">
        <v>1711</v>
      </c>
      <c r="E16" s="17">
        <v>1151</v>
      </c>
      <c r="F16" s="17">
        <v>738</v>
      </c>
      <c r="G16" s="17">
        <v>1724</v>
      </c>
      <c r="H16" s="17">
        <v>913</v>
      </c>
      <c r="I16" s="17">
        <v>706</v>
      </c>
      <c r="J16" s="17">
        <v>1888</v>
      </c>
      <c r="K16" s="17">
        <v>2070</v>
      </c>
    </row>
    <row r="17" spans="1:11" x14ac:dyDescent="0.35">
      <c r="A17" s="2" t="s">
        <v>27</v>
      </c>
      <c r="B17" s="17">
        <v>46327</v>
      </c>
      <c r="C17" s="17">
        <v>66064</v>
      </c>
      <c r="D17" s="17">
        <v>38514</v>
      </c>
      <c r="E17" s="17">
        <v>30723</v>
      </c>
      <c r="F17" s="17">
        <v>18365</v>
      </c>
      <c r="G17" s="17">
        <v>11931</v>
      </c>
      <c r="H17" s="17">
        <v>7401</v>
      </c>
      <c r="I17" s="17">
        <v>4433</v>
      </c>
      <c r="J17" s="17">
        <v>736</v>
      </c>
      <c r="K17" s="17">
        <v>1038</v>
      </c>
    </row>
    <row r="18" spans="1:11" x14ac:dyDescent="0.35">
      <c r="A18" t="s">
        <v>28</v>
      </c>
      <c r="B18" s="17"/>
      <c r="C18" s="17"/>
      <c r="D18" s="17"/>
      <c r="E18" s="17"/>
      <c r="F18" s="17"/>
      <c r="G18" s="17">
        <v>-9976</v>
      </c>
      <c r="H18" s="17">
        <v>-6109</v>
      </c>
      <c r="I18" s="17">
        <v>-3692</v>
      </c>
      <c r="J18" s="17">
        <v>2691</v>
      </c>
      <c r="K18" s="17">
        <v>1796</v>
      </c>
    </row>
    <row r="19" spans="1:11" x14ac:dyDescent="0.35">
      <c r="A19" t="s">
        <v>29</v>
      </c>
      <c r="B19" s="17">
        <v>-16861</v>
      </c>
      <c r="C19" s="17">
        <v>-40140</v>
      </c>
      <c r="D19" s="17">
        <v>-16861</v>
      </c>
      <c r="E19" s="17">
        <v>-13427</v>
      </c>
      <c r="F19" s="17">
        <v>-11955</v>
      </c>
      <c r="G19" s="17">
        <v>16443</v>
      </c>
      <c r="H19" s="17">
        <v>11920</v>
      </c>
      <c r="I19" s="17">
        <v>6842</v>
      </c>
      <c r="J19" s="17">
        <v>-2292</v>
      </c>
      <c r="K19" s="17">
        <v>-1521</v>
      </c>
    </row>
    <row r="20" spans="1:11" x14ac:dyDescent="0.35">
      <c r="A20" t="s">
        <v>30</v>
      </c>
      <c r="B20" s="17">
        <v>5657</v>
      </c>
      <c r="C20" s="17">
        <v>5096</v>
      </c>
      <c r="D20" s="17">
        <v>4172</v>
      </c>
      <c r="E20" s="17">
        <v>2104</v>
      </c>
      <c r="F20" s="17">
        <v>1897</v>
      </c>
      <c r="G20" s="17"/>
      <c r="H20" s="17"/>
      <c r="I20" s="17"/>
      <c r="J20" s="17">
        <v>5475</v>
      </c>
      <c r="K20" s="17">
        <v>4180</v>
      </c>
    </row>
    <row r="21" spans="1:11" x14ac:dyDescent="0.35">
      <c r="A21" t="s">
        <v>31</v>
      </c>
      <c r="B21" s="17">
        <v>-1985</v>
      </c>
      <c r="C21" s="17">
        <v>-2325</v>
      </c>
      <c r="D21" s="17">
        <v>-2461</v>
      </c>
      <c r="E21" s="17">
        <v>-2186</v>
      </c>
      <c r="F21" s="17">
        <v>-13972</v>
      </c>
      <c r="G21" s="17">
        <v>-6737</v>
      </c>
      <c r="H21" s="17">
        <v>-4589</v>
      </c>
      <c r="I21" s="17">
        <v>-4893</v>
      </c>
      <c r="J21" s="17"/>
      <c r="K21" s="17"/>
    </row>
    <row r="22" spans="1:11" x14ac:dyDescent="0.35">
      <c r="A22" t="s">
        <v>32</v>
      </c>
      <c r="B22" s="17">
        <v>22681</v>
      </c>
      <c r="C22" s="17">
        <v>50237</v>
      </c>
      <c r="D22" s="17">
        <v>22681</v>
      </c>
      <c r="E22" s="17">
        <v>8240</v>
      </c>
      <c r="F22" s="17">
        <v>9677</v>
      </c>
      <c r="G22" s="17">
        <v>-116</v>
      </c>
      <c r="H22" s="17">
        <v>-795</v>
      </c>
      <c r="I22" s="17">
        <v>-979</v>
      </c>
      <c r="J22" s="17">
        <v>-3444</v>
      </c>
      <c r="K22" s="17">
        <v>-3785</v>
      </c>
    </row>
    <row r="23" spans="1:11" x14ac:dyDescent="0.35">
      <c r="A23" t="s">
        <v>33</v>
      </c>
      <c r="B23" s="17">
        <v>-31812</v>
      </c>
      <c r="C23" s="17">
        <v>-72479</v>
      </c>
      <c r="D23" s="17">
        <v>-31812</v>
      </c>
      <c r="E23" s="17">
        <v>-7100</v>
      </c>
      <c r="F23" s="17">
        <v>-12731</v>
      </c>
      <c r="G23" s="17">
        <v>4733</v>
      </c>
      <c r="H23" s="17">
        <v>3025</v>
      </c>
      <c r="I23" s="17">
        <v>3349</v>
      </c>
      <c r="J23" s="17">
        <v>-312</v>
      </c>
      <c r="K23" s="17">
        <v>-745</v>
      </c>
    </row>
    <row r="24" spans="1:11" x14ac:dyDescent="0.35">
      <c r="A24" t="s">
        <v>34</v>
      </c>
      <c r="B24" s="17">
        <v>-58154</v>
      </c>
      <c r="C24" s="17">
        <v>-59611</v>
      </c>
      <c r="D24" s="17">
        <v>-24281</v>
      </c>
      <c r="E24" s="17">
        <v>-12369</v>
      </c>
      <c r="F24" s="17">
        <v>-27084</v>
      </c>
      <c r="G24" s="17">
        <v>-7756</v>
      </c>
      <c r="H24" s="17">
        <v>-4091</v>
      </c>
      <c r="I24" s="17">
        <v>-2542</v>
      </c>
      <c r="J24" s="17">
        <v>2306</v>
      </c>
      <c r="K24" s="17">
        <v>4237</v>
      </c>
    </row>
    <row r="25" spans="1:11" x14ac:dyDescent="0.35">
      <c r="A25" t="s">
        <v>35</v>
      </c>
      <c r="B25" s="17"/>
      <c r="C25" s="17"/>
      <c r="D25" s="17"/>
      <c r="E25" s="17"/>
      <c r="F25" s="17"/>
      <c r="G25" s="17">
        <v>-9876</v>
      </c>
      <c r="H25" s="17">
        <v>-6450</v>
      </c>
      <c r="I25" s="17">
        <v>-5065</v>
      </c>
      <c r="J25" s="17">
        <v>-2826</v>
      </c>
      <c r="K25" s="17">
        <v>-3302</v>
      </c>
    </row>
    <row r="26" spans="1:11" x14ac:dyDescent="0.35">
      <c r="A26" t="s">
        <v>36</v>
      </c>
      <c r="B26" s="17">
        <f>7956+19003</f>
        <v>26959</v>
      </c>
      <c r="C26" s="17">
        <f>6796+10525</f>
        <v>17321</v>
      </c>
      <c r="D26" s="17">
        <v>2273</v>
      </c>
      <c r="E26" s="17">
        <v>768</v>
      </c>
      <c r="F26" s="17">
        <v>16228</v>
      </c>
      <c r="G26" s="17"/>
      <c r="H26" s="17"/>
      <c r="I26" s="17"/>
      <c r="J26" s="17">
        <v>-4276</v>
      </c>
      <c r="K26" s="17">
        <v>-3595</v>
      </c>
    </row>
    <row r="27" spans="1:11" x14ac:dyDescent="0.35">
      <c r="A27" t="s">
        <v>37</v>
      </c>
      <c r="B27" s="17">
        <f>-1518-1166</f>
        <v>-2684</v>
      </c>
      <c r="C27" s="17">
        <f>-6177-1553</f>
        <v>-7730</v>
      </c>
      <c r="D27" s="17">
        <v>-2684</v>
      </c>
      <c r="E27" s="17">
        <v>-668</v>
      </c>
      <c r="F27" s="17">
        <v>-1301</v>
      </c>
      <c r="G27" s="17">
        <v>829</v>
      </c>
      <c r="H27" s="17">
        <v>119</v>
      </c>
      <c r="I27" s="17">
        <v>6</v>
      </c>
      <c r="J27" s="17"/>
      <c r="K27" s="17"/>
    </row>
    <row r="28" spans="1:11" x14ac:dyDescent="0.35">
      <c r="A28" t="s">
        <v>38</v>
      </c>
      <c r="B28" s="17">
        <v>-9628</v>
      </c>
      <c r="C28" s="17">
        <v>-10642</v>
      </c>
      <c r="D28" s="17">
        <v>-9628</v>
      </c>
      <c r="E28" s="17">
        <v>-7449</v>
      </c>
      <c r="F28" s="17">
        <v>-4799</v>
      </c>
      <c r="G28" s="17">
        <v>621</v>
      </c>
      <c r="H28" s="17">
        <v>353</v>
      </c>
      <c r="I28" s="17">
        <v>6359</v>
      </c>
      <c r="J28" s="17">
        <v>78</v>
      </c>
      <c r="K28" s="17">
        <v>429</v>
      </c>
    </row>
    <row r="29" spans="1:11" x14ac:dyDescent="0.35">
      <c r="A29" t="s">
        <v>39</v>
      </c>
      <c r="B29" s="17">
        <v>-162</v>
      </c>
      <c r="C29" s="17">
        <v>-53</v>
      </c>
      <c r="D29" s="17">
        <v>-27</v>
      </c>
      <c r="E29" s="17">
        <v>-337</v>
      </c>
      <c r="F29" s="17">
        <v>-200</v>
      </c>
      <c r="G29" s="17">
        <v>-354</v>
      </c>
      <c r="H29" s="17">
        <v>-1652</v>
      </c>
      <c r="I29" s="17">
        <v>-513</v>
      </c>
      <c r="J29" s="17">
        <v>0</v>
      </c>
      <c r="K29" s="17">
        <v>-960</v>
      </c>
    </row>
    <row r="30" spans="1:11" x14ac:dyDescent="0.35">
      <c r="A30" t="s">
        <v>40</v>
      </c>
      <c r="B30" s="17">
        <v>6291</v>
      </c>
      <c r="C30" s="17">
        <v>-1104</v>
      </c>
      <c r="D30" s="17">
        <v>-10066</v>
      </c>
      <c r="E30" s="17">
        <v>-7686</v>
      </c>
      <c r="F30" s="17">
        <v>9928</v>
      </c>
      <c r="G30" s="17">
        <v>-3860</v>
      </c>
      <c r="H30" s="17">
        <v>-2462</v>
      </c>
      <c r="I30" s="17">
        <v>-1285</v>
      </c>
      <c r="J30" s="17">
        <v>394</v>
      </c>
      <c r="K30" s="17">
        <v>3378</v>
      </c>
    </row>
    <row r="31" spans="1:11" x14ac:dyDescent="0.35">
      <c r="A31" t="s">
        <v>41</v>
      </c>
      <c r="B31" s="17">
        <v>-364</v>
      </c>
      <c r="C31" s="17">
        <v>618</v>
      </c>
      <c r="D31" s="17">
        <v>70</v>
      </c>
      <c r="E31" s="17">
        <v>-351</v>
      </c>
      <c r="F31" s="17">
        <v>713</v>
      </c>
      <c r="G31" s="17">
        <v>-147</v>
      </c>
      <c r="H31" s="17">
        <v>-121</v>
      </c>
      <c r="I31" s="17">
        <v>-135</v>
      </c>
      <c r="J31" s="17">
        <v>-1011</v>
      </c>
      <c r="K31" s="17">
        <v>-588</v>
      </c>
    </row>
    <row r="32" spans="1:11" x14ac:dyDescent="0.35">
      <c r="A32" t="s">
        <v>42</v>
      </c>
      <c r="B32" s="17">
        <v>5900</v>
      </c>
      <c r="C32" s="17">
        <v>5967</v>
      </c>
      <c r="D32" s="17">
        <v>4237</v>
      </c>
      <c r="E32" s="17">
        <v>10317</v>
      </c>
      <c r="F32" s="17">
        <v>1922</v>
      </c>
      <c r="G32" s="17">
        <v>-2911</v>
      </c>
      <c r="H32" s="17">
        <v>-3763</v>
      </c>
      <c r="I32" s="17">
        <v>4432</v>
      </c>
      <c r="J32" s="17">
        <v>-539</v>
      </c>
      <c r="K32" s="17">
        <v>2259</v>
      </c>
    </row>
    <row r="33" spans="1:11" x14ac:dyDescent="0.35">
      <c r="A33" t="s">
        <v>43</v>
      </c>
      <c r="B33" s="17">
        <v>36410</v>
      </c>
      <c r="C33" s="17">
        <v>42377</v>
      </c>
      <c r="D33" s="17">
        <v>36410</v>
      </c>
      <c r="E33" s="17">
        <v>32173</v>
      </c>
      <c r="F33" s="17">
        <v>21856</v>
      </c>
      <c r="G33" s="17">
        <v>-212</v>
      </c>
      <c r="H33" s="17">
        <v>-374</v>
      </c>
      <c r="I33" s="17">
        <v>-310</v>
      </c>
      <c r="J33" s="17">
        <v>-86</v>
      </c>
      <c r="K33" s="17">
        <v>-29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EA0D-02F9-4566-A1D5-D49EE98CAE0F}">
  <dimension ref="A1:K20"/>
  <sheetViews>
    <sheetView workbookViewId="0">
      <selection activeCell="F7" sqref="F7"/>
    </sheetView>
  </sheetViews>
  <sheetFormatPr defaultRowHeight="14.5" x14ac:dyDescent="0.35"/>
  <cols>
    <col min="1" max="1" width="38.54296875" bestFit="1" customWidth="1"/>
    <col min="2" max="2" width="7.26953125" bestFit="1" customWidth="1"/>
    <col min="3" max="7" width="7.1796875" bestFit="1" customWidth="1"/>
  </cols>
  <sheetData>
    <row r="1" spans="1:11" x14ac:dyDescent="0.35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44</v>
      </c>
      <c r="B2">
        <v>469822</v>
      </c>
      <c r="C2">
        <v>386064</v>
      </c>
      <c r="D2">
        <v>280522</v>
      </c>
      <c r="E2">
        <v>232887</v>
      </c>
      <c r="F2" s="19">
        <v>177866</v>
      </c>
      <c r="G2">
        <v>135987</v>
      </c>
      <c r="H2">
        <v>107006</v>
      </c>
      <c r="I2">
        <v>88988</v>
      </c>
      <c r="J2">
        <v>74452</v>
      </c>
      <c r="K2">
        <v>61093</v>
      </c>
    </row>
    <row r="3" spans="1:11" x14ac:dyDescent="0.35">
      <c r="A3" t="s">
        <v>45</v>
      </c>
      <c r="B3" s="1">
        <v>272344</v>
      </c>
      <c r="C3">
        <v>233307</v>
      </c>
      <c r="D3">
        <v>165536</v>
      </c>
      <c r="E3">
        <v>139156</v>
      </c>
      <c r="F3" s="19">
        <v>111934</v>
      </c>
      <c r="G3">
        <v>88265</v>
      </c>
      <c r="H3">
        <v>71651</v>
      </c>
      <c r="I3">
        <v>62752</v>
      </c>
      <c r="J3">
        <v>54181</v>
      </c>
      <c r="K3">
        <v>45971</v>
      </c>
    </row>
    <row r="4" spans="1:11" x14ac:dyDescent="0.35">
      <c r="A4" t="s">
        <v>46</v>
      </c>
      <c r="B4" s="1">
        <f>B2-B3</f>
        <v>197478</v>
      </c>
      <c r="C4" s="1">
        <f t="shared" ref="C4:K4" si="0">C2-C3</f>
        <v>152757</v>
      </c>
      <c r="D4" s="1">
        <f t="shared" si="0"/>
        <v>114986</v>
      </c>
      <c r="E4" s="1">
        <f t="shared" si="0"/>
        <v>93731</v>
      </c>
      <c r="F4" s="20">
        <f>F2-F3</f>
        <v>65932</v>
      </c>
      <c r="G4" s="1">
        <f t="shared" ref="G4" si="1">G2-G3</f>
        <v>47722</v>
      </c>
      <c r="H4" s="1">
        <f t="shared" ref="H4" si="2">H2-H3</f>
        <v>35355</v>
      </c>
      <c r="I4" s="1">
        <f t="shared" ref="I4" si="3">I2-I3</f>
        <v>26236</v>
      </c>
      <c r="J4" s="1">
        <f t="shared" si="0"/>
        <v>20271</v>
      </c>
      <c r="K4" s="1">
        <f t="shared" si="0"/>
        <v>15122</v>
      </c>
    </row>
    <row r="5" spans="1:11" x14ac:dyDescent="0.35">
      <c r="A5" t="s">
        <v>47</v>
      </c>
      <c r="B5">
        <v>75111</v>
      </c>
      <c r="C5">
        <v>58517</v>
      </c>
      <c r="D5">
        <v>40232</v>
      </c>
      <c r="E5">
        <v>34027</v>
      </c>
      <c r="F5" s="19">
        <v>25249</v>
      </c>
      <c r="J5">
        <v>8585</v>
      </c>
      <c r="K5">
        <v>6419</v>
      </c>
    </row>
    <row r="6" spans="1:11" x14ac:dyDescent="0.35">
      <c r="A6" t="s">
        <v>48</v>
      </c>
      <c r="B6">
        <v>56052</v>
      </c>
      <c r="C6">
        <v>42740</v>
      </c>
      <c r="D6">
        <v>35931</v>
      </c>
      <c r="E6">
        <v>28837</v>
      </c>
      <c r="F6" s="19">
        <v>22620</v>
      </c>
      <c r="G6">
        <v>16085</v>
      </c>
      <c r="H6">
        <v>12540</v>
      </c>
      <c r="I6">
        <v>35355</v>
      </c>
      <c r="J6">
        <v>3133</v>
      </c>
      <c r="K6">
        <v>2408</v>
      </c>
    </row>
    <row r="7" spans="1:11" x14ac:dyDescent="0.35">
      <c r="A7" t="s">
        <v>49</v>
      </c>
      <c r="B7">
        <v>32551</v>
      </c>
      <c r="C7">
        <v>22008</v>
      </c>
      <c r="D7">
        <v>18878</v>
      </c>
      <c r="E7">
        <v>13814</v>
      </c>
      <c r="F7" s="19">
        <v>10069</v>
      </c>
      <c r="J7">
        <v>6565</v>
      </c>
      <c r="K7">
        <v>4564</v>
      </c>
    </row>
    <row r="8" spans="1:11" x14ac:dyDescent="0.35">
      <c r="A8" t="s">
        <v>50</v>
      </c>
      <c r="B8">
        <v>8823</v>
      </c>
      <c r="C8">
        <v>6668</v>
      </c>
      <c r="D8">
        <v>5203</v>
      </c>
      <c r="E8">
        <v>4336</v>
      </c>
      <c r="F8" s="19">
        <v>3674</v>
      </c>
      <c r="J8">
        <v>1129</v>
      </c>
      <c r="K8">
        <v>896</v>
      </c>
    </row>
    <row r="9" spans="1:11" x14ac:dyDescent="0.35">
      <c r="A9" t="s">
        <v>51</v>
      </c>
      <c r="B9">
        <v>116485</v>
      </c>
      <c r="C9">
        <v>87193</v>
      </c>
      <c r="D9">
        <f>D7+D8+D5</f>
        <v>64313</v>
      </c>
      <c r="E9">
        <f t="shared" ref="E9" si="4">E7+E8+E5</f>
        <v>52177</v>
      </c>
      <c r="F9" s="19">
        <f>F7+F8+F5</f>
        <v>38992</v>
      </c>
      <c r="G9">
        <v>27284</v>
      </c>
      <c r="H9">
        <v>20411</v>
      </c>
      <c r="I9">
        <v>16650</v>
      </c>
      <c r="J9">
        <f t="shared" ref="J9" si="5">J7+J8+J5</f>
        <v>16279</v>
      </c>
      <c r="K9">
        <f t="shared" ref="K9" si="6">K7+K8+K5</f>
        <v>11879</v>
      </c>
    </row>
    <row r="10" spans="1:11" x14ac:dyDescent="0.35">
      <c r="A10" t="s">
        <v>18</v>
      </c>
      <c r="B10">
        <v>-62</v>
      </c>
      <c r="C10">
        <v>75</v>
      </c>
      <c r="D10">
        <v>-201</v>
      </c>
      <c r="E10">
        <v>-296</v>
      </c>
      <c r="F10" s="19">
        <v>-214</v>
      </c>
      <c r="G10">
        <v>-167</v>
      </c>
      <c r="H10">
        <v>-171</v>
      </c>
      <c r="I10">
        <v>-133</v>
      </c>
      <c r="J10">
        <v>-114</v>
      </c>
      <c r="K10">
        <v>-159</v>
      </c>
    </row>
    <row r="11" spans="1:11" x14ac:dyDescent="0.35">
      <c r="A11" t="s">
        <v>52</v>
      </c>
      <c r="B11">
        <v>444943</v>
      </c>
      <c r="C11">
        <v>363165</v>
      </c>
      <c r="D11">
        <v>265981</v>
      </c>
      <c r="E11">
        <v>220466</v>
      </c>
      <c r="F11" s="19">
        <v>173760</v>
      </c>
      <c r="G11">
        <v>131801</v>
      </c>
      <c r="H11">
        <v>104773</v>
      </c>
      <c r="I11">
        <v>88810</v>
      </c>
      <c r="J11">
        <v>73707</v>
      </c>
      <c r="K11">
        <v>60417</v>
      </c>
    </row>
    <row r="12" spans="1:11" x14ac:dyDescent="0.35">
      <c r="A12" t="s">
        <v>53</v>
      </c>
      <c r="B12">
        <v>24879</v>
      </c>
      <c r="C12">
        <v>22899</v>
      </c>
      <c r="D12">
        <v>14541</v>
      </c>
      <c r="E12">
        <v>12421</v>
      </c>
      <c r="F12" s="19">
        <v>4106</v>
      </c>
      <c r="G12">
        <v>4186</v>
      </c>
      <c r="H12">
        <v>2233</v>
      </c>
      <c r="I12">
        <v>178</v>
      </c>
      <c r="J12">
        <v>745</v>
      </c>
      <c r="K12" s="3" t="s">
        <v>54</v>
      </c>
    </row>
    <row r="13" spans="1:11" x14ac:dyDescent="0.35">
      <c r="A13" t="s">
        <v>55</v>
      </c>
      <c r="B13">
        <v>832</v>
      </c>
      <c r="C13">
        <v>555</v>
      </c>
      <c r="D13">
        <v>832</v>
      </c>
      <c r="E13">
        <v>440</v>
      </c>
      <c r="F13" s="19">
        <v>202</v>
      </c>
      <c r="J13">
        <v>38</v>
      </c>
      <c r="K13" s="3" t="s">
        <v>56</v>
      </c>
    </row>
    <row r="14" spans="1:11" x14ac:dyDescent="0.35">
      <c r="A14" t="s">
        <v>57</v>
      </c>
      <c r="B14">
        <v>-1600</v>
      </c>
      <c r="C14">
        <v>-1647</v>
      </c>
      <c r="D14">
        <v>-1600</v>
      </c>
      <c r="E14">
        <v>-1417</v>
      </c>
      <c r="F14" s="19">
        <v>-848</v>
      </c>
      <c r="J14">
        <v>-141</v>
      </c>
      <c r="K14" s="3" t="s">
        <v>58</v>
      </c>
    </row>
    <row r="15" spans="1:11" x14ac:dyDescent="0.35">
      <c r="A15" t="s">
        <v>59</v>
      </c>
      <c r="B15">
        <v>14633</v>
      </c>
      <c r="C15">
        <v>2371</v>
      </c>
      <c r="D15">
        <v>203</v>
      </c>
      <c r="E15">
        <v>-183</v>
      </c>
      <c r="F15" s="19">
        <v>346</v>
      </c>
      <c r="J15">
        <v>-136</v>
      </c>
      <c r="K15" s="3" t="s">
        <v>60</v>
      </c>
    </row>
    <row r="16" spans="1:11" x14ac:dyDescent="0.35">
      <c r="A16" t="s">
        <v>61</v>
      </c>
      <c r="B16">
        <v>13272</v>
      </c>
      <c r="C16">
        <v>1279</v>
      </c>
      <c r="D16">
        <v>-565</v>
      </c>
      <c r="E16">
        <v>-1160</v>
      </c>
      <c r="F16" s="19">
        <v>-300</v>
      </c>
      <c r="G16">
        <v>-294</v>
      </c>
      <c r="H16">
        <v>-665</v>
      </c>
      <c r="I16">
        <v>-289</v>
      </c>
      <c r="J16">
        <v>-239</v>
      </c>
      <c r="K16" s="3" t="s">
        <v>62</v>
      </c>
    </row>
    <row r="17" spans="1:11" x14ac:dyDescent="0.35">
      <c r="A17" t="s">
        <v>63</v>
      </c>
      <c r="B17">
        <v>38151</v>
      </c>
      <c r="C17">
        <v>24178</v>
      </c>
      <c r="D17">
        <v>13976</v>
      </c>
      <c r="E17">
        <v>11261</v>
      </c>
      <c r="F17" s="19">
        <v>3806</v>
      </c>
      <c r="G17">
        <v>3892</v>
      </c>
      <c r="H17">
        <v>1568</v>
      </c>
      <c r="I17">
        <v>-111</v>
      </c>
      <c r="J17">
        <v>506</v>
      </c>
      <c r="K17" s="3" t="s">
        <v>64</v>
      </c>
    </row>
    <row r="18" spans="1:11" x14ac:dyDescent="0.35">
      <c r="A18" t="s">
        <v>65</v>
      </c>
      <c r="B18">
        <v>4791</v>
      </c>
      <c r="C18">
        <v>2863</v>
      </c>
      <c r="D18">
        <v>-2374</v>
      </c>
      <c r="E18">
        <v>-1197</v>
      </c>
      <c r="F18" s="19">
        <v>-769</v>
      </c>
      <c r="G18">
        <v>1425</v>
      </c>
      <c r="H18">
        <v>950</v>
      </c>
      <c r="I18">
        <v>167</v>
      </c>
      <c r="J18">
        <v>-161</v>
      </c>
      <c r="K18" s="3" t="s">
        <v>66</v>
      </c>
    </row>
    <row r="19" spans="1:11" x14ac:dyDescent="0.35">
      <c r="A19" t="s">
        <v>67</v>
      </c>
      <c r="B19">
        <v>4</v>
      </c>
      <c r="C19">
        <v>16</v>
      </c>
      <c r="D19">
        <v>-14</v>
      </c>
      <c r="E19">
        <v>9</v>
      </c>
      <c r="F19" s="19">
        <v>-4</v>
      </c>
      <c r="J19">
        <v>-71</v>
      </c>
      <c r="K19" s="3" t="s">
        <v>68</v>
      </c>
    </row>
    <row r="20" spans="1:11" x14ac:dyDescent="0.35">
      <c r="A20" t="s">
        <v>14</v>
      </c>
      <c r="B20">
        <v>33364</v>
      </c>
      <c r="C20">
        <v>21331</v>
      </c>
      <c r="D20">
        <v>11588</v>
      </c>
      <c r="E20">
        <v>10073</v>
      </c>
      <c r="F20" s="19">
        <v>3033</v>
      </c>
      <c r="G20">
        <v>2371</v>
      </c>
      <c r="H20">
        <v>596</v>
      </c>
      <c r="I20">
        <v>-241</v>
      </c>
      <c r="J20">
        <v>274</v>
      </c>
      <c r="K20" s="3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8628-8B6B-4C7C-8053-6CF94B15C197}">
  <dimension ref="A1:O32"/>
  <sheetViews>
    <sheetView topLeftCell="A16" workbookViewId="0">
      <selection activeCell="E24" sqref="E24"/>
    </sheetView>
  </sheetViews>
  <sheetFormatPr defaultRowHeight="14.5" x14ac:dyDescent="0.35"/>
  <cols>
    <col min="1" max="1" width="80.7265625" bestFit="1" customWidth="1"/>
    <col min="2" max="5" width="10.6328125" style="3" bestFit="1" customWidth="1"/>
    <col min="6" max="6" width="12.36328125" style="3" bestFit="1" customWidth="1"/>
    <col min="7" max="7" width="10.6328125" style="3" bestFit="1" customWidth="1"/>
    <col min="8" max="8" width="8.81640625" style="3" bestFit="1" customWidth="1"/>
    <col min="9" max="9" width="9.54296875" style="3" bestFit="1" customWidth="1"/>
    <col min="10" max="11" width="8.81640625" style="3" bestFit="1" customWidth="1"/>
  </cols>
  <sheetData>
    <row r="1" spans="1:15" x14ac:dyDescent="0.35">
      <c r="A1" t="s">
        <v>70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5" x14ac:dyDescent="0.35">
      <c r="A2" t="s">
        <v>71</v>
      </c>
      <c r="L2" s="3"/>
      <c r="M2" s="3"/>
      <c r="N2" s="3"/>
      <c r="O2" s="3"/>
    </row>
    <row r="3" spans="1:15" x14ac:dyDescent="0.35">
      <c r="A3" t="s">
        <v>72</v>
      </c>
      <c r="B3" s="18">
        <v>96049</v>
      </c>
      <c r="C3" s="18">
        <v>84396</v>
      </c>
      <c r="D3" s="18">
        <f>D4+D5</f>
        <v>55021</v>
      </c>
      <c r="E3" s="18">
        <f>E4+E5</f>
        <v>41250</v>
      </c>
      <c r="F3" s="18">
        <v>30986</v>
      </c>
      <c r="G3" s="18">
        <f>G4+G5</f>
        <v>25981</v>
      </c>
      <c r="H3" s="18">
        <f t="shared" ref="H3:K3" si="0">H4+H5</f>
        <v>19808</v>
      </c>
      <c r="I3" s="18">
        <v>17416</v>
      </c>
      <c r="J3" s="18">
        <f t="shared" si="0"/>
        <v>12447</v>
      </c>
      <c r="K3" s="18">
        <f t="shared" si="0"/>
        <v>11448</v>
      </c>
      <c r="L3" s="3"/>
      <c r="M3" s="3"/>
      <c r="N3" s="3"/>
      <c r="O3" s="3"/>
    </row>
    <row r="4" spans="1:15" x14ac:dyDescent="0.35">
      <c r="A4" t="s">
        <v>73</v>
      </c>
      <c r="B4" s="18">
        <v>36220</v>
      </c>
      <c r="C4" s="18">
        <v>42122</v>
      </c>
      <c r="D4" s="18">
        <v>36092</v>
      </c>
      <c r="E4" s="18">
        <v>31750</v>
      </c>
      <c r="F4" s="18">
        <v>0</v>
      </c>
      <c r="G4" s="18">
        <v>19334</v>
      </c>
      <c r="H4" s="18">
        <v>15890</v>
      </c>
      <c r="I4" s="18"/>
      <c r="J4" s="18">
        <v>8658</v>
      </c>
      <c r="K4" s="18">
        <v>8084</v>
      </c>
      <c r="L4" s="3"/>
      <c r="M4" s="3"/>
      <c r="N4" s="3"/>
      <c r="O4" s="3"/>
    </row>
    <row r="5" spans="1:15" x14ac:dyDescent="0.35">
      <c r="A5" t="s">
        <v>74</v>
      </c>
      <c r="B5" s="18">
        <v>58829</v>
      </c>
      <c r="C5" s="18">
        <v>42274</v>
      </c>
      <c r="D5" s="18">
        <v>18929</v>
      </c>
      <c r="E5" s="18">
        <v>9500</v>
      </c>
      <c r="F5" s="18">
        <v>0</v>
      </c>
      <c r="G5" s="18">
        <v>6647</v>
      </c>
      <c r="H5" s="18">
        <v>3918</v>
      </c>
      <c r="I5" s="18"/>
      <c r="J5" s="18">
        <v>3789</v>
      </c>
      <c r="K5" s="18">
        <v>3364</v>
      </c>
      <c r="L5" s="3"/>
      <c r="M5" s="3"/>
      <c r="N5" s="3"/>
      <c r="O5" s="3"/>
    </row>
    <row r="6" spans="1:15" x14ac:dyDescent="0.35">
      <c r="A6" t="s">
        <v>22</v>
      </c>
      <c r="B6" s="18">
        <v>32640</v>
      </c>
      <c r="C6" s="18">
        <v>24542</v>
      </c>
      <c r="D6" s="18">
        <v>20497</v>
      </c>
      <c r="E6" s="18">
        <v>17174</v>
      </c>
      <c r="F6" s="18">
        <v>16047</v>
      </c>
      <c r="G6" s="18">
        <v>11461</v>
      </c>
      <c r="H6" s="18">
        <v>10243</v>
      </c>
      <c r="I6" s="18">
        <v>8299</v>
      </c>
      <c r="J6" s="18">
        <v>7411</v>
      </c>
      <c r="K6" s="18">
        <v>6031</v>
      </c>
      <c r="L6" s="3"/>
      <c r="M6" s="3"/>
      <c r="N6" s="3"/>
      <c r="O6" s="3"/>
    </row>
    <row r="7" spans="1:15" x14ac:dyDescent="0.35">
      <c r="A7" t="s">
        <v>23</v>
      </c>
      <c r="B7" s="18">
        <v>32891</v>
      </c>
      <c r="C7" s="18">
        <v>24542</v>
      </c>
      <c r="D7" s="18">
        <v>20816</v>
      </c>
      <c r="E7" s="18">
        <v>16677</v>
      </c>
      <c r="F7" s="18">
        <v>13164</v>
      </c>
      <c r="G7" s="18">
        <v>8339</v>
      </c>
      <c r="H7" s="18">
        <v>5654</v>
      </c>
      <c r="I7" s="18">
        <v>5612</v>
      </c>
      <c r="J7" s="18">
        <v>4767</v>
      </c>
      <c r="K7" s="18">
        <v>3817</v>
      </c>
      <c r="L7" s="3"/>
      <c r="M7" s="3"/>
      <c r="N7" s="3"/>
      <c r="O7" s="3"/>
    </row>
    <row r="8" spans="1:15" x14ac:dyDescent="0.35">
      <c r="A8" t="s">
        <v>75</v>
      </c>
      <c r="B8" s="18">
        <v>161580</v>
      </c>
      <c r="C8" s="18">
        <v>132733</v>
      </c>
      <c r="D8" s="18">
        <v>96334</v>
      </c>
      <c r="E8" s="18">
        <v>75101</v>
      </c>
      <c r="F8" s="18">
        <v>60197</v>
      </c>
      <c r="G8" s="18">
        <v>45781</v>
      </c>
      <c r="H8" s="18">
        <v>35705</v>
      </c>
      <c r="I8" s="18">
        <v>311327</v>
      </c>
      <c r="J8" s="18">
        <v>24625</v>
      </c>
      <c r="K8" s="18">
        <v>21296</v>
      </c>
      <c r="L8" s="3"/>
      <c r="M8" s="3"/>
      <c r="N8" s="3"/>
      <c r="O8" s="3"/>
    </row>
    <row r="9" spans="1:15" x14ac:dyDescent="0.35">
      <c r="A9" t="s">
        <v>76</v>
      </c>
      <c r="B9" s="18">
        <v>160281</v>
      </c>
      <c r="C9" s="18">
        <v>113114</v>
      </c>
      <c r="D9" s="18">
        <v>72705</v>
      </c>
      <c r="E9" s="18">
        <v>61797</v>
      </c>
      <c r="F9" s="18">
        <v>48466</v>
      </c>
      <c r="G9" s="18">
        <v>29114</v>
      </c>
      <c r="H9" s="18">
        <v>21838</v>
      </c>
      <c r="I9" s="18">
        <v>16967</v>
      </c>
      <c r="J9" s="18">
        <v>10949</v>
      </c>
      <c r="K9" s="18">
        <v>7060</v>
      </c>
      <c r="L9" s="3"/>
      <c r="M9" s="3"/>
      <c r="N9" s="3"/>
      <c r="O9" s="3"/>
    </row>
    <row r="10" spans="1:15" x14ac:dyDescent="0.35">
      <c r="A10" t="s">
        <v>77</v>
      </c>
      <c r="B10" s="18">
        <v>56082</v>
      </c>
      <c r="C10" s="18">
        <v>37553</v>
      </c>
      <c r="D10" s="18">
        <v>25141</v>
      </c>
      <c r="E10" s="18">
        <v>0</v>
      </c>
      <c r="F10" s="18"/>
      <c r="G10" s="18"/>
      <c r="H10" s="18"/>
      <c r="I10" s="18"/>
      <c r="J10" s="18"/>
      <c r="K10" s="18"/>
      <c r="L10" s="3"/>
      <c r="M10" s="3"/>
      <c r="N10" s="3"/>
      <c r="O10" s="3"/>
    </row>
    <row r="11" spans="1:15" x14ac:dyDescent="0.35">
      <c r="A11" t="s">
        <v>78</v>
      </c>
      <c r="B11" s="18">
        <v>15371</v>
      </c>
      <c r="C11" s="18">
        <v>15017</v>
      </c>
      <c r="D11" s="18">
        <v>14754</v>
      </c>
      <c r="E11" s="18">
        <v>14548</v>
      </c>
      <c r="F11" s="18">
        <v>13350</v>
      </c>
      <c r="G11" s="18">
        <v>3784</v>
      </c>
      <c r="H11" s="18">
        <v>3759</v>
      </c>
      <c r="I11" s="18">
        <v>3319</v>
      </c>
      <c r="J11" s="18">
        <v>2655</v>
      </c>
      <c r="K11" s="18">
        <v>2552</v>
      </c>
      <c r="L11" s="3"/>
      <c r="M11" s="3"/>
      <c r="N11" s="3"/>
      <c r="O11" s="3"/>
    </row>
    <row r="12" spans="1:15" x14ac:dyDescent="0.35">
      <c r="A12" t="s">
        <v>79</v>
      </c>
      <c r="B12" s="18">
        <v>27235</v>
      </c>
      <c r="C12" s="18">
        <v>22778</v>
      </c>
      <c r="D12" s="18">
        <v>16314</v>
      </c>
      <c r="E12" s="18">
        <v>11202</v>
      </c>
      <c r="F12" s="18">
        <v>8897</v>
      </c>
      <c r="G12" s="18">
        <v>4723</v>
      </c>
      <c r="H12" s="18">
        <v>3445</v>
      </c>
      <c r="I12" s="18">
        <v>2892</v>
      </c>
      <c r="J12" s="18">
        <v>1930</v>
      </c>
      <c r="K12" s="18">
        <v>1647</v>
      </c>
      <c r="L12" s="3"/>
      <c r="M12" s="3"/>
      <c r="N12" s="3"/>
      <c r="O12" s="3"/>
    </row>
    <row r="13" spans="1:15" x14ac:dyDescent="0.35">
      <c r="A13" t="s">
        <v>80</v>
      </c>
      <c r="B13" s="18">
        <v>420579</v>
      </c>
      <c r="C13" s="18">
        <v>321195</v>
      </c>
      <c r="D13" s="18">
        <v>225248</v>
      </c>
      <c r="E13" s="18">
        <v>162648</v>
      </c>
      <c r="F13" s="18">
        <v>131310</v>
      </c>
      <c r="G13" s="18">
        <v>83402</v>
      </c>
      <c r="H13" s="18">
        <v>64747</v>
      </c>
      <c r="I13" s="18">
        <v>54505</v>
      </c>
      <c r="J13" s="18">
        <v>40159</v>
      </c>
      <c r="K13" s="18">
        <v>32555</v>
      </c>
      <c r="L13" s="3"/>
      <c r="M13" s="3"/>
      <c r="N13" s="3"/>
      <c r="O13" s="3"/>
    </row>
    <row r="14" spans="1:15" x14ac:dyDescent="0.35">
      <c r="A14" t="s">
        <v>81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3"/>
      <c r="M14" s="3"/>
      <c r="N14" s="3"/>
      <c r="O14" s="3"/>
    </row>
    <row r="15" spans="1:15" x14ac:dyDescent="0.35">
      <c r="A15" t="s">
        <v>82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3"/>
      <c r="M15" s="3"/>
      <c r="N15" s="3"/>
      <c r="O15" s="3"/>
    </row>
    <row r="16" spans="1:15" x14ac:dyDescent="0.35">
      <c r="A16" t="s">
        <v>24</v>
      </c>
      <c r="B16" s="18">
        <v>78664</v>
      </c>
      <c r="C16" s="18">
        <v>72539</v>
      </c>
      <c r="D16" s="18">
        <v>47183</v>
      </c>
      <c r="E16" s="18">
        <v>38192</v>
      </c>
      <c r="F16" s="18">
        <v>0</v>
      </c>
      <c r="G16" s="18">
        <v>25309</v>
      </c>
      <c r="H16" s="18">
        <v>20397</v>
      </c>
      <c r="I16" s="18"/>
      <c r="J16" s="18">
        <v>15133</v>
      </c>
      <c r="K16" s="18">
        <v>13318</v>
      </c>
      <c r="L16" s="3"/>
      <c r="M16" s="3"/>
      <c r="N16" s="3"/>
      <c r="O16" s="3"/>
    </row>
    <row r="17" spans="1:15" x14ac:dyDescent="0.35">
      <c r="A17" t="s">
        <v>25</v>
      </c>
      <c r="B17" s="18">
        <v>44138</v>
      </c>
      <c r="C17" s="18">
        <v>51775</v>
      </c>
      <c r="D17" s="18">
        <v>32439</v>
      </c>
      <c r="E17" s="18">
        <v>23663</v>
      </c>
      <c r="F17" s="18">
        <v>0</v>
      </c>
      <c r="G17" s="18">
        <v>13739</v>
      </c>
      <c r="H17" s="18">
        <v>10372</v>
      </c>
      <c r="I17" s="18"/>
      <c r="J17" s="18">
        <v>6688</v>
      </c>
      <c r="K17" s="18">
        <v>4892</v>
      </c>
      <c r="L17" s="3"/>
      <c r="M17" s="3"/>
      <c r="N17" s="3"/>
      <c r="O17" s="3"/>
    </row>
    <row r="18" spans="1:15" x14ac:dyDescent="0.35">
      <c r="A18" t="s">
        <v>26</v>
      </c>
      <c r="B18" s="18">
        <v>9708</v>
      </c>
      <c r="C18" s="18">
        <v>11827</v>
      </c>
      <c r="D18" s="18">
        <v>8190</v>
      </c>
      <c r="E18" s="18">
        <v>6536</v>
      </c>
      <c r="F18" s="18">
        <v>0</v>
      </c>
      <c r="G18" s="18">
        <v>4768</v>
      </c>
      <c r="H18" s="18">
        <v>3118</v>
      </c>
      <c r="I18" s="18"/>
      <c r="J18" s="18">
        <v>1159</v>
      </c>
      <c r="K18" s="18">
        <v>792</v>
      </c>
      <c r="L18" s="3"/>
      <c r="M18" s="3"/>
      <c r="N18" s="3"/>
      <c r="O18" s="3"/>
    </row>
    <row r="19" spans="1:15" x14ac:dyDescent="0.35">
      <c r="A19" t="s">
        <v>83</v>
      </c>
      <c r="B19" s="18">
        <v>142266</v>
      </c>
      <c r="C19" s="18">
        <v>126385</v>
      </c>
      <c r="D19" s="18">
        <v>87812</v>
      </c>
      <c r="E19" s="18">
        <v>68391</v>
      </c>
      <c r="F19" s="18">
        <v>57883</v>
      </c>
      <c r="G19" s="18">
        <v>43816</v>
      </c>
      <c r="H19" s="18">
        <v>33887</v>
      </c>
      <c r="I19" s="18">
        <v>28089</v>
      </c>
      <c r="J19" s="18">
        <v>22980</v>
      </c>
      <c r="K19" s="18">
        <v>19002</v>
      </c>
      <c r="L19" s="3"/>
      <c r="M19" s="3"/>
      <c r="N19" s="3"/>
      <c r="O19" s="3"/>
    </row>
    <row r="20" spans="1:15" x14ac:dyDescent="0.35">
      <c r="A20" t="s">
        <v>84</v>
      </c>
      <c r="B20" s="18">
        <v>67651</v>
      </c>
      <c r="C20" s="18">
        <v>52573</v>
      </c>
      <c r="D20" s="18">
        <v>39791</v>
      </c>
      <c r="E20" s="18">
        <v>9650</v>
      </c>
      <c r="F20" s="18">
        <v>0</v>
      </c>
      <c r="G20" s="18"/>
      <c r="H20" s="18"/>
      <c r="I20" s="18"/>
      <c r="J20" s="18"/>
      <c r="K20" s="18"/>
      <c r="L20" s="3"/>
      <c r="M20" s="3"/>
      <c r="N20" s="3"/>
      <c r="O20" s="3"/>
    </row>
    <row r="21" spans="1:15" x14ac:dyDescent="0.35">
      <c r="A21" t="s">
        <v>85</v>
      </c>
      <c r="B21" s="18">
        <v>48744</v>
      </c>
      <c r="C21" s="18">
        <v>31816</v>
      </c>
      <c r="D21" s="18">
        <v>23414</v>
      </c>
      <c r="E21" s="18">
        <v>23495</v>
      </c>
      <c r="F21" s="18">
        <v>24743</v>
      </c>
      <c r="G21" s="18">
        <v>7694</v>
      </c>
      <c r="H21" s="18">
        <v>8227</v>
      </c>
      <c r="I21" s="18"/>
      <c r="J21" s="18">
        <v>3191</v>
      </c>
      <c r="K21" s="18">
        <v>3084</v>
      </c>
      <c r="L21" s="3"/>
      <c r="M21" s="3"/>
      <c r="N21" s="3"/>
      <c r="O21" s="3"/>
    </row>
    <row r="22" spans="1:15" x14ac:dyDescent="0.35">
      <c r="A22" t="s">
        <v>96</v>
      </c>
      <c r="B22" s="18">
        <v>23643</v>
      </c>
      <c r="C22" s="18">
        <v>17017</v>
      </c>
      <c r="D22" s="18">
        <v>12171</v>
      </c>
      <c r="E22" s="18">
        <v>17563</v>
      </c>
      <c r="F22" s="18">
        <v>20975</v>
      </c>
      <c r="G22" s="18">
        <v>12607</v>
      </c>
      <c r="H22" s="18">
        <v>9249</v>
      </c>
      <c r="I22" s="18"/>
      <c r="J22" s="18">
        <v>4242</v>
      </c>
      <c r="K22" s="18">
        <v>2277</v>
      </c>
      <c r="L22" s="3"/>
      <c r="M22" s="3"/>
      <c r="N22" s="3"/>
      <c r="O22" s="3"/>
    </row>
    <row r="23" spans="1:15" x14ac:dyDescent="0.35">
      <c r="A23" t="s">
        <v>86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3"/>
      <c r="M23" s="3"/>
      <c r="N23" s="3"/>
      <c r="O23" s="3"/>
    </row>
    <row r="24" spans="1:15" x14ac:dyDescent="0.35">
      <c r="A24" s="4" t="s">
        <v>93</v>
      </c>
      <c r="B24" s="18">
        <v>5</v>
      </c>
      <c r="C24" s="18">
        <v>5</v>
      </c>
      <c r="D24" s="18">
        <v>5</v>
      </c>
      <c r="E24" s="18">
        <v>5</v>
      </c>
      <c r="F24" s="18">
        <v>0</v>
      </c>
      <c r="G24" s="18"/>
      <c r="H24" s="18">
        <v>5</v>
      </c>
      <c r="I24" s="18"/>
      <c r="J24" s="18">
        <v>5</v>
      </c>
      <c r="K24" s="18">
        <v>5</v>
      </c>
      <c r="L24" s="3"/>
      <c r="M24" s="3"/>
      <c r="N24" s="3"/>
      <c r="O24" s="3"/>
    </row>
    <row r="25" spans="1:15" x14ac:dyDescent="0.35">
      <c r="A25" s="4" t="s">
        <v>87</v>
      </c>
      <c r="B25" s="18">
        <v>-1837</v>
      </c>
      <c r="C25" s="18">
        <v>-1837</v>
      </c>
      <c r="D25" s="18">
        <v>-1837</v>
      </c>
      <c r="E25" s="18">
        <v>-1837</v>
      </c>
      <c r="F25" s="18">
        <v>5</v>
      </c>
      <c r="G25" s="18"/>
      <c r="H25" s="18">
        <v>-1837</v>
      </c>
      <c r="I25" s="18"/>
      <c r="J25" s="18">
        <v>-1837</v>
      </c>
      <c r="K25" s="18">
        <v>-1837</v>
      </c>
      <c r="L25" s="3"/>
      <c r="M25" s="3"/>
      <c r="N25" s="3"/>
      <c r="O25" s="3"/>
    </row>
    <row r="26" spans="1:15" x14ac:dyDescent="0.35">
      <c r="A26" s="4" t="s">
        <v>88</v>
      </c>
      <c r="B26" s="18">
        <v>55538</v>
      </c>
      <c r="C26" s="18">
        <v>42865</v>
      </c>
      <c r="D26" s="18">
        <v>33658</v>
      </c>
      <c r="E26" s="18">
        <v>26791</v>
      </c>
      <c r="F26" s="18">
        <v>0</v>
      </c>
      <c r="G26" s="18"/>
      <c r="H26" s="18">
        <v>13394</v>
      </c>
      <c r="I26" s="18"/>
      <c r="J26" s="18">
        <v>9573</v>
      </c>
      <c r="K26" s="18">
        <v>8347</v>
      </c>
      <c r="L26" s="3"/>
      <c r="M26" s="3"/>
      <c r="N26" s="3"/>
      <c r="O26" s="3"/>
    </row>
    <row r="27" spans="1:15" x14ac:dyDescent="0.35">
      <c r="A27" s="4" t="s">
        <v>89</v>
      </c>
      <c r="B27" s="18">
        <v>-1376</v>
      </c>
      <c r="C27" s="18">
        <v>-180</v>
      </c>
      <c r="D27" s="18">
        <v>-986</v>
      </c>
      <c r="E27" s="18">
        <v>-1035</v>
      </c>
      <c r="F27" s="18">
        <v>-484</v>
      </c>
      <c r="G27" s="18"/>
      <c r="H27" s="18">
        <v>-723</v>
      </c>
      <c r="I27" s="18">
        <v>-511</v>
      </c>
      <c r="J27" s="18">
        <v>-185</v>
      </c>
      <c r="K27" s="18">
        <v>-239</v>
      </c>
      <c r="L27" s="3"/>
      <c r="M27" s="3"/>
      <c r="N27" s="3"/>
      <c r="O27" s="3"/>
    </row>
    <row r="28" spans="1:15" x14ac:dyDescent="0.35">
      <c r="A28" s="4" t="s">
        <v>90</v>
      </c>
      <c r="B28" s="18">
        <v>85915</v>
      </c>
      <c r="C28" s="18">
        <v>52551</v>
      </c>
      <c r="D28" s="18">
        <v>31220</v>
      </c>
      <c r="E28" s="18">
        <v>19625</v>
      </c>
      <c r="F28" s="18">
        <v>8636</v>
      </c>
      <c r="G28" s="18"/>
      <c r="H28" s="18">
        <v>2545</v>
      </c>
      <c r="I28" s="18">
        <v>1949</v>
      </c>
      <c r="J28" s="18">
        <v>2190</v>
      </c>
      <c r="K28" s="18">
        <v>1916</v>
      </c>
      <c r="L28" s="3"/>
      <c r="M28" s="3"/>
      <c r="N28" s="3"/>
      <c r="O28" s="3"/>
    </row>
    <row r="29" spans="1:15" x14ac:dyDescent="0.35">
      <c r="A29" t="s">
        <v>91</v>
      </c>
      <c r="B29" s="18">
        <v>138245</v>
      </c>
      <c r="C29" s="18">
        <v>93404</v>
      </c>
      <c r="D29" s="18">
        <v>62060</v>
      </c>
      <c r="E29" s="18">
        <v>43549</v>
      </c>
      <c r="F29" s="18">
        <v>27709</v>
      </c>
      <c r="G29" s="18"/>
      <c r="H29" s="18">
        <v>13384</v>
      </c>
      <c r="I29" s="18">
        <v>10741</v>
      </c>
      <c r="J29" s="18">
        <v>9746</v>
      </c>
      <c r="K29" s="18">
        <v>8192</v>
      </c>
      <c r="L29" s="3"/>
      <c r="M29" s="3"/>
      <c r="N29" s="3"/>
      <c r="O29" s="3"/>
    </row>
    <row r="30" spans="1:15" x14ac:dyDescent="0.35">
      <c r="A30" t="s">
        <v>92</v>
      </c>
      <c r="B30" s="18">
        <v>420549</v>
      </c>
      <c r="C30" s="18">
        <v>321195</v>
      </c>
      <c r="D30" s="18">
        <v>225248</v>
      </c>
      <c r="E30" s="18">
        <v>162648</v>
      </c>
      <c r="F30" s="18">
        <v>131310</v>
      </c>
      <c r="G30" s="18"/>
      <c r="H30" s="18">
        <v>64747</v>
      </c>
      <c r="I30" s="18">
        <v>54505</v>
      </c>
      <c r="J30" s="18">
        <v>40159</v>
      </c>
      <c r="K30" s="18">
        <v>32555</v>
      </c>
      <c r="L30" s="3"/>
      <c r="M30" s="3"/>
      <c r="N30" s="3"/>
      <c r="O30" s="3"/>
    </row>
    <row r="31" spans="1:15" x14ac:dyDescent="0.35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3"/>
      <c r="M31" s="3"/>
      <c r="N31" s="3"/>
      <c r="O31" s="3"/>
    </row>
    <row r="32" spans="1:15" x14ac:dyDescent="0.35">
      <c r="L32" s="3"/>
      <c r="M32" s="3"/>
      <c r="N32" s="3"/>
      <c r="O32" s="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51B8-C1DF-495F-91A0-E42585C3354F}">
  <dimension ref="A2:B47"/>
  <sheetViews>
    <sheetView showGridLines="0" tabSelected="1" topLeftCell="A21" workbookViewId="0">
      <selection activeCell="B25" sqref="B25"/>
    </sheetView>
  </sheetViews>
  <sheetFormatPr defaultRowHeight="14.5" x14ac:dyDescent="0.35"/>
  <cols>
    <col min="1" max="1" width="58.7265625" bestFit="1" customWidth="1"/>
    <col min="2" max="2" width="58.36328125" bestFit="1" customWidth="1"/>
  </cols>
  <sheetData>
    <row r="2" spans="1:2" x14ac:dyDescent="0.35">
      <c r="A2" s="2" t="s">
        <v>94</v>
      </c>
      <c r="B2" s="2" t="s">
        <v>95</v>
      </c>
    </row>
    <row r="3" spans="1:2" x14ac:dyDescent="0.35">
      <c r="A3" t="s">
        <v>71</v>
      </c>
      <c r="B3" t="s">
        <v>71</v>
      </c>
    </row>
    <row r="4" spans="1:2" x14ac:dyDescent="0.35">
      <c r="A4" s="21" t="s">
        <v>100</v>
      </c>
      <c r="B4" t="s">
        <v>72</v>
      </c>
    </row>
    <row r="5" spans="1:2" x14ac:dyDescent="0.35">
      <c r="A5" s="21" t="s">
        <v>101</v>
      </c>
      <c r="B5" t="s">
        <v>73</v>
      </c>
    </row>
    <row r="6" spans="1:2" x14ac:dyDescent="0.35">
      <c r="A6" s="21" t="s">
        <v>102</v>
      </c>
      <c r="B6" t="s">
        <v>74</v>
      </c>
    </row>
    <row r="7" spans="1:2" x14ac:dyDescent="0.35">
      <c r="A7" s="21" t="s">
        <v>103</v>
      </c>
      <c r="B7" t="s">
        <v>22</v>
      </c>
    </row>
    <row r="8" spans="1:2" x14ac:dyDescent="0.35">
      <c r="A8" s="21" t="s">
        <v>104</v>
      </c>
      <c r="B8" t="s">
        <v>23</v>
      </c>
    </row>
    <row r="9" spans="1:2" s="2" customFormat="1" x14ac:dyDescent="0.35">
      <c r="A9" s="8" t="s">
        <v>75</v>
      </c>
      <c r="B9" s="8" t="s">
        <v>75</v>
      </c>
    </row>
    <row r="10" spans="1:2" s="2" customFormat="1" x14ac:dyDescent="0.35"/>
    <row r="11" spans="1:2" x14ac:dyDescent="0.35">
      <c r="A11" s="4" t="s">
        <v>105</v>
      </c>
      <c r="B11" t="s">
        <v>76</v>
      </c>
    </row>
    <row r="12" spans="1:2" x14ac:dyDescent="0.35">
      <c r="A12" s="4" t="s">
        <v>106</v>
      </c>
      <c r="B12" t="s">
        <v>77</v>
      </c>
    </row>
    <row r="13" spans="1:2" x14ac:dyDescent="0.35">
      <c r="A13" s="4" t="s">
        <v>107</v>
      </c>
      <c r="B13" t="s">
        <v>78</v>
      </c>
    </row>
    <row r="14" spans="1:2" x14ac:dyDescent="0.35">
      <c r="A14" s="4" t="s">
        <v>108</v>
      </c>
      <c r="B14" t="s">
        <v>79</v>
      </c>
    </row>
    <row r="15" spans="1:2" s="2" customFormat="1" ht="15" thickBot="1" x14ac:dyDescent="0.4">
      <c r="A15" s="12" t="s">
        <v>80</v>
      </c>
      <c r="B15" s="12" t="s">
        <v>80</v>
      </c>
    </row>
    <row r="16" spans="1:2" s="2" customFormat="1" x14ac:dyDescent="0.35"/>
    <row r="17" spans="1:2" x14ac:dyDescent="0.35">
      <c r="A17" t="s">
        <v>81</v>
      </c>
      <c r="B17" t="s">
        <v>81</v>
      </c>
    </row>
    <row r="18" spans="1:2" x14ac:dyDescent="0.35">
      <c r="A18" s="14" t="s">
        <v>82</v>
      </c>
      <c r="B18" t="s">
        <v>82</v>
      </c>
    </row>
    <row r="19" spans="1:2" x14ac:dyDescent="0.35">
      <c r="A19" s="4" t="s">
        <v>109</v>
      </c>
      <c r="B19" t="s">
        <v>24</v>
      </c>
    </row>
    <row r="20" spans="1:2" x14ac:dyDescent="0.35">
      <c r="A20" s="4" t="s">
        <v>110</v>
      </c>
      <c r="B20" t="s">
        <v>25</v>
      </c>
    </row>
    <row r="21" spans="1:2" x14ac:dyDescent="0.35">
      <c r="A21" s="4" t="s">
        <v>111</v>
      </c>
      <c r="B21" t="s">
        <v>26</v>
      </c>
    </row>
    <row r="22" spans="1:2" s="2" customFormat="1" x14ac:dyDescent="0.35">
      <c r="A22" s="8" t="s">
        <v>83</v>
      </c>
      <c r="B22" s="8" t="s">
        <v>83</v>
      </c>
    </row>
    <row r="23" spans="1:2" s="2" customFormat="1" x14ac:dyDescent="0.35"/>
    <row r="24" spans="1:2" x14ac:dyDescent="0.35">
      <c r="A24" s="4" t="s">
        <v>112</v>
      </c>
      <c r="B24" t="s">
        <v>84</v>
      </c>
    </row>
    <row r="25" spans="1:2" x14ac:dyDescent="0.35">
      <c r="A25" s="4" t="s">
        <v>113</v>
      </c>
      <c r="B25" t="s">
        <v>85</v>
      </c>
    </row>
    <row r="26" spans="1:2" x14ac:dyDescent="0.35">
      <c r="A26" s="4" t="s">
        <v>114</v>
      </c>
      <c r="B26" t="s">
        <v>96</v>
      </c>
    </row>
    <row r="28" spans="1:2" s="2" customFormat="1" x14ac:dyDescent="0.35">
      <c r="A28" s="8" t="s">
        <v>86</v>
      </c>
      <c r="B28" s="8" t="s">
        <v>86</v>
      </c>
    </row>
    <row r="29" spans="1:2" x14ac:dyDescent="0.35">
      <c r="A29" s="4" t="s">
        <v>115</v>
      </c>
      <c r="B29" t="s">
        <v>93</v>
      </c>
    </row>
    <row r="30" spans="1:2" x14ac:dyDescent="0.35">
      <c r="A30" s="4" t="s">
        <v>116</v>
      </c>
      <c r="B30" t="s">
        <v>87</v>
      </c>
    </row>
    <row r="31" spans="1:2" x14ac:dyDescent="0.35">
      <c r="A31" s="4" t="s">
        <v>117</v>
      </c>
      <c r="B31" t="s">
        <v>88</v>
      </c>
    </row>
    <row r="32" spans="1:2" x14ac:dyDescent="0.35">
      <c r="A32" s="4" t="s">
        <v>118</v>
      </c>
      <c r="B32" t="s">
        <v>89</v>
      </c>
    </row>
    <row r="33" spans="1:2" x14ac:dyDescent="0.35">
      <c r="A33" s="4" t="s">
        <v>119</v>
      </c>
      <c r="B33" t="s">
        <v>90</v>
      </c>
    </row>
    <row r="34" spans="1:2" s="2" customFormat="1" x14ac:dyDescent="0.35">
      <c r="A34" s="8" t="s">
        <v>91</v>
      </c>
      <c r="B34" s="8" t="s">
        <v>91</v>
      </c>
    </row>
    <row r="35" spans="1:2" s="2" customFormat="1" x14ac:dyDescent="0.35"/>
    <row r="36" spans="1:2" s="2" customFormat="1" ht="15" thickBot="1" x14ac:dyDescent="0.4">
      <c r="A36" s="12" t="s">
        <v>92</v>
      </c>
      <c r="B36" s="12" t="s">
        <v>92</v>
      </c>
    </row>
    <row r="38" spans="1:2" x14ac:dyDescent="0.35">
      <c r="A38" s="5"/>
      <c r="B38" s="6"/>
    </row>
    <row r="39" spans="1:2" x14ac:dyDescent="0.35">
      <c r="A39" s="5"/>
      <c r="B39" s="6"/>
    </row>
    <row r="40" spans="1:2" x14ac:dyDescent="0.35">
      <c r="A40" s="5"/>
      <c r="B40" s="6"/>
    </row>
    <row r="41" spans="1:2" x14ac:dyDescent="0.35">
      <c r="A41" s="5"/>
      <c r="B41" s="6"/>
    </row>
    <row r="42" spans="1:2" x14ac:dyDescent="0.35">
      <c r="A42" s="5"/>
      <c r="B42" s="6"/>
    </row>
    <row r="43" spans="1:2" x14ac:dyDescent="0.35">
      <c r="A43" s="5"/>
      <c r="B43" s="6"/>
    </row>
    <row r="44" spans="1:2" x14ac:dyDescent="0.35">
      <c r="A44" s="5"/>
      <c r="B44" s="6"/>
    </row>
    <row r="45" spans="1:2" x14ac:dyDescent="0.35">
      <c r="A45" s="5"/>
      <c r="B45" s="6"/>
    </row>
    <row r="46" spans="1:2" x14ac:dyDescent="0.35">
      <c r="A46" s="5"/>
      <c r="B46" s="6"/>
    </row>
    <row r="47" spans="1:2" x14ac:dyDescent="0.35">
      <c r="A47" s="5"/>
      <c r="B47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818C-1528-4818-AFE0-48EBAB5B37C0}">
  <dimension ref="A1:B24"/>
  <sheetViews>
    <sheetView showGridLines="0" topLeftCell="A9" workbookViewId="0">
      <selection activeCell="A17" sqref="A17"/>
    </sheetView>
  </sheetViews>
  <sheetFormatPr defaultRowHeight="14.5" x14ac:dyDescent="0.35"/>
  <cols>
    <col min="1" max="1" width="38.54296875" bestFit="1" customWidth="1"/>
    <col min="2" max="2" width="38.6328125" bestFit="1" customWidth="1"/>
  </cols>
  <sheetData>
    <row r="1" spans="1:2" s="2" customFormat="1" x14ac:dyDescent="0.35">
      <c r="A1" s="10" t="s">
        <v>97</v>
      </c>
      <c r="B1" s="10" t="s">
        <v>98</v>
      </c>
    </row>
    <row r="2" spans="1:2" x14ac:dyDescent="0.35">
      <c r="A2" s="4" t="s">
        <v>120</v>
      </c>
      <c r="B2" t="s">
        <v>44</v>
      </c>
    </row>
    <row r="3" spans="1:2" x14ac:dyDescent="0.35">
      <c r="A3" s="4" t="s">
        <v>121</v>
      </c>
      <c r="B3" t="s">
        <v>45</v>
      </c>
    </row>
    <row r="4" spans="1:2" s="2" customFormat="1" x14ac:dyDescent="0.35">
      <c r="A4" s="15" t="s">
        <v>46</v>
      </c>
      <c r="B4" s="8" t="s">
        <v>46</v>
      </c>
    </row>
    <row r="6" spans="1:2" x14ac:dyDescent="0.35">
      <c r="A6" s="22" t="s">
        <v>122</v>
      </c>
      <c r="B6" s="7" t="s">
        <v>47</v>
      </c>
    </row>
    <row r="7" spans="1:2" x14ac:dyDescent="0.35">
      <c r="A7" s="4" t="s">
        <v>123</v>
      </c>
      <c r="B7" t="s">
        <v>48</v>
      </c>
    </row>
    <row r="8" spans="1:2" x14ac:dyDescent="0.35">
      <c r="A8" s="4" t="s">
        <v>124</v>
      </c>
      <c r="B8" t="s">
        <v>49</v>
      </c>
    </row>
    <row r="9" spans="1:2" x14ac:dyDescent="0.35">
      <c r="A9" s="4" t="s">
        <v>125</v>
      </c>
      <c r="B9" t="s">
        <v>50</v>
      </c>
    </row>
    <row r="10" spans="1:2" x14ac:dyDescent="0.35">
      <c r="A10" s="4" t="s">
        <v>126</v>
      </c>
      <c r="B10" t="s">
        <v>51</v>
      </c>
    </row>
    <row r="11" spans="1:2" x14ac:dyDescent="0.35">
      <c r="A11" s="4" t="s">
        <v>127</v>
      </c>
      <c r="B11" t="s">
        <v>18</v>
      </c>
    </row>
    <row r="12" spans="1:2" s="2" customFormat="1" x14ac:dyDescent="0.35">
      <c r="A12" s="15" t="s">
        <v>52</v>
      </c>
      <c r="B12" s="8" t="s">
        <v>52</v>
      </c>
    </row>
    <row r="14" spans="1:2" s="2" customFormat="1" x14ac:dyDescent="0.35">
      <c r="A14" s="15" t="s">
        <v>53</v>
      </c>
      <c r="B14" s="8" t="s">
        <v>53</v>
      </c>
    </row>
    <row r="15" spans="1:2" s="2" customFormat="1" x14ac:dyDescent="0.35"/>
    <row r="16" spans="1:2" x14ac:dyDescent="0.35">
      <c r="A16" s="22" t="s">
        <v>128</v>
      </c>
      <c r="B16" s="7" t="s">
        <v>55</v>
      </c>
    </row>
    <row r="17" spans="1:2" x14ac:dyDescent="0.35">
      <c r="A17" s="4" t="s">
        <v>129</v>
      </c>
      <c r="B17" t="s">
        <v>57</v>
      </c>
    </row>
    <row r="18" spans="1:2" x14ac:dyDescent="0.35">
      <c r="A18" s="4" t="s">
        <v>130</v>
      </c>
      <c r="B18" t="s">
        <v>59</v>
      </c>
    </row>
    <row r="19" spans="1:2" s="2" customFormat="1" x14ac:dyDescent="0.35">
      <c r="A19" s="15" t="s">
        <v>61</v>
      </c>
      <c r="B19" s="8" t="s">
        <v>61</v>
      </c>
    </row>
    <row r="20" spans="1:2" s="2" customFormat="1" x14ac:dyDescent="0.35"/>
    <row r="21" spans="1:2" s="2" customFormat="1" x14ac:dyDescent="0.35">
      <c r="A21" s="15" t="s">
        <v>63</v>
      </c>
      <c r="B21" s="8" t="s">
        <v>63</v>
      </c>
    </row>
    <row r="22" spans="1:2" x14ac:dyDescent="0.35">
      <c r="A22" s="4" t="s">
        <v>131</v>
      </c>
      <c r="B22" t="s">
        <v>65</v>
      </c>
    </row>
    <row r="23" spans="1:2" x14ac:dyDescent="0.35">
      <c r="A23" s="4" t="s">
        <v>132</v>
      </c>
      <c r="B23" t="s">
        <v>67</v>
      </c>
    </row>
    <row r="24" spans="1:2" s="2" customFormat="1" ht="15" thickBot="1" x14ac:dyDescent="0.4">
      <c r="A24" s="16" t="s">
        <v>14</v>
      </c>
      <c r="B24" s="1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DF4B-457A-465D-AF98-D81C65DFE6EA}">
  <dimension ref="A1:B36"/>
  <sheetViews>
    <sheetView showGridLines="0" topLeftCell="A18" workbookViewId="0">
      <selection activeCell="A42" sqref="A42"/>
    </sheetView>
  </sheetViews>
  <sheetFormatPr defaultRowHeight="14.5" x14ac:dyDescent="0.35"/>
  <cols>
    <col min="1" max="1" width="108.1796875" bestFit="1" customWidth="1"/>
    <col min="2" max="2" width="80.7265625" bestFit="1" customWidth="1"/>
  </cols>
  <sheetData>
    <row r="1" spans="1:2" s="2" customFormat="1" x14ac:dyDescent="0.35">
      <c r="A1" s="2" t="s">
        <v>99</v>
      </c>
      <c r="B1" s="2" t="s">
        <v>98</v>
      </c>
    </row>
    <row r="2" spans="1:2" x14ac:dyDescent="0.35">
      <c r="A2" s="11" t="s">
        <v>12</v>
      </c>
      <c r="B2" s="11" t="s">
        <v>12</v>
      </c>
    </row>
    <row r="3" spans="1:2" x14ac:dyDescent="0.35">
      <c r="A3" s="9" t="s">
        <v>13</v>
      </c>
      <c r="B3" t="s">
        <v>13</v>
      </c>
    </row>
    <row r="4" spans="1:2" x14ac:dyDescent="0.35">
      <c r="A4" s="4" t="s">
        <v>14</v>
      </c>
      <c r="B4" t="s">
        <v>14</v>
      </c>
    </row>
    <row r="5" spans="1:2" x14ac:dyDescent="0.35">
      <c r="A5" s="4" t="s">
        <v>15</v>
      </c>
      <c r="B5" t="s">
        <v>15</v>
      </c>
    </row>
    <row r="6" spans="1:2" x14ac:dyDescent="0.35">
      <c r="A6" s="4" t="s">
        <v>133</v>
      </c>
      <c r="B6" t="s">
        <v>16</v>
      </c>
    </row>
    <row r="7" spans="1:2" x14ac:dyDescent="0.35">
      <c r="A7" s="4" t="s">
        <v>134</v>
      </c>
      <c r="B7" t="s">
        <v>17</v>
      </c>
    </row>
    <row r="8" spans="1:2" x14ac:dyDescent="0.35">
      <c r="A8" s="4" t="s">
        <v>127</v>
      </c>
      <c r="B8" t="s">
        <v>18</v>
      </c>
    </row>
    <row r="9" spans="1:2" x14ac:dyDescent="0.35">
      <c r="A9" s="4" t="s">
        <v>135</v>
      </c>
      <c r="B9" t="s">
        <v>19</v>
      </c>
    </row>
    <row r="10" spans="1:2" x14ac:dyDescent="0.35">
      <c r="A10" s="4" t="s">
        <v>136</v>
      </c>
      <c r="B10" t="s">
        <v>20</v>
      </c>
    </row>
    <row r="11" spans="1:2" x14ac:dyDescent="0.35">
      <c r="A11" s="4" t="s">
        <v>137</v>
      </c>
      <c r="B11" t="s">
        <v>21</v>
      </c>
    </row>
    <row r="12" spans="1:2" x14ac:dyDescent="0.35">
      <c r="A12" s="4" t="s">
        <v>103</v>
      </c>
      <c r="B12" t="s">
        <v>22</v>
      </c>
    </row>
    <row r="13" spans="1:2" x14ac:dyDescent="0.35">
      <c r="A13" s="4" t="s">
        <v>104</v>
      </c>
      <c r="B13" t="s">
        <v>23</v>
      </c>
    </row>
    <row r="14" spans="1:2" x14ac:dyDescent="0.35">
      <c r="A14" s="4" t="s">
        <v>109</v>
      </c>
      <c r="B14" t="s">
        <v>24</v>
      </c>
    </row>
    <row r="15" spans="1:2" x14ac:dyDescent="0.35">
      <c r="A15" s="4" t="s">
        <v>110</v>
      </c>
      <c r="B15" t="s">
        <v>25</v>
      </c>
    </row>
    <row r="16" spans="1:2" x14ac:dyDescent="0.35">
      <c r="A16" s="4" t="s">
        <v>111</v>
      </c>
      <c r="B16" t="s">
        <v>26</v>
      </c>
    </row>
    <row r="17" spans="1:2" x14ac:dyDescent="0.35">
      <c r="A17" s="8" t="s">
        <v>27</v>
      </c>
      <c r="B17" s="8" t="s">
        <v>27</v>
      </c>
    </row>
    <row r="18" spans="1:2" x14ac:dyDescent="0.35">
      <c r="A18" s="2"/>
      <c r="B18" s="2"/>
    </row>
    <row r="19" spans="1:2" x14ac:dyDescent="0.35">
      <c r="A19" s="7" t="s">
        <v>28</v>
      </c>
      <c r="B19" s="7" t="s">
        <v>28</v>
      </c>
    </row>
    <row r="20" spans="1:2" x14ac:dyDescent="0.35">
      <c r="A20" s="4" t="s">
        <v>138</v>
      </c>
      <c r="B20" t="s">
        <v>29</v>
      </c>
    </row>
    <row r="21" spans="1:2" x14ac:dyDescent="0.35">
      <c r="A21" s="4" t="s">
        <v>139</v>
      </c>
      <c r="B21" t="s">
        <v>30</v>
      </c>
    </row>
    <row r="22" spans="1:2" x14ac:dyDescent="0.35">
      <c r="A22" s="4" t="s">
        <v>140</v>
      </c>
      <c r="B22" t="s">
        <v>31</v>
      </c>
    </row>
    <row r="23" spans="1:2" x14ac:dyDescent="0.35">
      <c r="A23" s="4" t="s">
        <v>141</v>
      </c>
      <c r="B23" t="s">
        <v>32</v>
      </c>
    </row>
    <row r="24" spans="1:2" x14ac:dyDescent="0.35">
      <c r="A24" s="4" t="s">
        <v>142</v>
      </c>
      <c r="B24" t="s">
        <v>33</v>
      </c>
    </row>
    <row r="25" spans="1:2" s="2" customFormat="1" x14ac:dyDescent="0.35">
      <c r="A25" s="8" t="s">
        <v>34</v>
      </c>
      <c r="B25" s="8" t="s">
        <v>34</v>
      </c>
    </row>
    <row r="26" spans="1:2" s="2" customFormat="1" x14ac:dyDescent="0.35"/>
    <row r="27" spans="1:2" x14ac:dyDescent="0.35">
      <c r="A27" s="7" t="s">
        <v>35</v>
      </c>
      <c r="B27" s="7" t="s">
        <v>35</v>
      </c>
    </row>
    <row r="28" spans="1:2" x14ac:dyDescent="0.35">
      <c r="A28" s="4" t="s">
        <v>143</v>
      </c>
      <c r="B28" t="s">
        <v>36</v>
      </c>
    </row>
    <row r="29" spans="1:2" x14ac:dyDescent="0.35">
      <c r="A29" s="4" t="s">
        <v>144</v>
      </c>
      <c r="B29" t="s">
        <v>37</v>
      </c>
    </row>
    <row r="30" spans="1:2" x14ac:dyDescent="0.35">
      <c r="A30" s="4" t="s">
        <v>145</v>
      </c>
      <c r="B30" t="s">
        <v>38</v>
      </c>
    </row>
    <row r="31" spans="1:2" x14ac:dyDescent="0.35">
      <c r="A31" s="4" t="s">
        <v>146</v>
      </c>
      <c r="B31" t="s">
        <v>39</v>
      </c>
    </row>
    <row r="32" spans="1:2" s="2" customFormat="1" x14ac:dyDescent="0.35">
      <c r="A32" s="8" t="s">
        <v>40</v>
      </c>
      <c r="B32" s="8" t="s">
        <v>40</v>
      </c>
    </row>
    <row r="33" spans="1:2" s="2" customFormat="1" x14ac:dyDescent="0.35"/>
    <row r="34" spans="1:2" x14ac:dyDescent="0.35">
      <c r="A34" t="s">
        <v>147</v>
      </c>
      <c r="B34" t="s">
        <v>41</v>
      </c>
    </row>
    <row r="35" spans="1:2" s="2" customFormat="1" x14ac:dyDescent="0.35">
      <c r="A35" s="11" t="s">
        <v>42</v>
      </c>
      <c r="B35" s="11" t="s">
        <v>42</v>
      </c>
    </row>
    <row r="36" spans="1:2" s="2" customFormat="1" ht="15" thickBot="1" x14ac:dyDescent="0.4">
      <c r="A36" s="12" t="s">
        <v>43</v>
      </c>
      <c r="B36" s="12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CB0933-F7A9-4666-B864-83AF379CE8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CF</vt:lpstr>
      <vt:lpstr>PL</vt:lpstr>
      <vt:lpstr>BS</vt:lpstr>
      <vt:lpstr>BS TEMPLATE</vt:lpstr>
      <vt:lpstr>PL TEMPLATE</vt:lpstr>
      <vt:lpstr>CF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Tafeek Gbadegesin</cp:lastModifiedBy>
  <cp:revision/>
  <dcterms:created xsi:type="dcterms:W3CDTF">2022-05-16T18:57:06Z</dcterms:created>
  <dcterms:modified xsi:type="dcterms:W3CDTF">2022-08-26T16:13:17Z</dcterms:modified>
  <cp:category/>
  <cp:contentStatus/>
</cp:coreProperties>
</file>